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10704e9140aca38/Desktop/The Net Effect/"/>
    </mc:Choice>
  </mc:AlternateContent>
  <xr:revisionPtr revIDLastSave="0" documentId="8_{BBA9E63E-3A98-4932-A68C-64BD2AD9FEF8}" xr6:coauthVersionLast="47" xr6:coauthVersionMax="47" xr10:uidLastSave="{00000000-0000-0000-0000-000000000000}"/>
  <bookViews>
    <workbookView xWindow="-98" yWindow="-98" windowWidth="21795" windowHeight="13875" activeTab="3" xr2:uid="{00000000-000D-0000-FFFF-FFFF00000000}"/>
  </bookViews>
  <sheets>
    <sheet name="Team_Season" sheetId="1" r:id="rId1"/>
    <sheet name="Player_Core" sheetId="2" r:id="rId2"/>
    <sheet name="Methodology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B4" i="4"/>
  <c r="H4" i="4"/>
  <c r="E4" i="4"/>
  <c r="K7" i="1"/>
  <c r="M4" i="1"/>
  <c r="N4" i="1" s="1"/>
  <c r="C15" i="4" s="1"/>
  <c r="E5" i="4"/>
  <c r="B5" i="4"/>
  <c r="J34" i="2"/>
  <c r="L34" i="2" s="1"/>
  <c r="H34" i="2"/>
  <c r="J33" i="2"/>
  <c r="L33" i="2" s="1"/>
  <c r="H33" i="2"/>
  <c r="J32" i="2"/>
  <c r="L32" i="2" s="1"/>
  <c r="R12" i="1" s="1"/>
  <c r="G23" i="4" s="1"/>
  <c r="H32" i="2"/>
  <c r="J31" i="2"/>
  <c r="L31" i="2" s="1"/>
  <c r="H31" i="2"/>
  <c r="J30" i="2"/>
  <c r="L30" i="2" s="1"/>
  <c r="H30" i="2"/>
  <c r="J29" i="2"/>
  <c r="L29" i="2" s="1"/>
  <c r="R11" i="1" s="1"/>
  <c r="G22" i="4" s="1"/>
  <c r="H29" i="2"/>
  <c r="J28" i="2"/>
  <c r="L28" i="2" s="1"/>
  <c r="H28" i="2"/>
  <c r="J27" i="2"/>
  <c r="L27" i="2" s="1"/>
  <c r="H27" i="2"/>
  <c r="J26" i="2"/>
  <c r="L26" i="2" s="1"/>
  <c r="R10" i="1" s="1"/>
  <c r="G21" i="4" s="1"/>
  <c r="H26" i="2"/>
  <c r="J25" i="2"/>
  <c r="L25" i="2" s="1"/>
  <c r="H25" i="2"/>
  <c r="J24" i="2"/>
  <c r="L24" i="2" s="1"/>
  <c r="H24" i="2"/>
  <c r="J23" i="2"/>
  <c r="L23" i="2" s="1"/>
  <c r="R9" i="1" s="1"/>
  <c r="G20" i="4" s="1"/>
  <c r="H23" i="2"/>
  <c r="J22" i="2"/>
  <c r="L22" i="2" s="1"/>
  <c r="H22" i="2"/>
  <c r="J21" i="2"/>
  <c r="L21" i="2" s="1"/>
  <c r="H21" i="2"/>
  <c r="J20" i="2"/>
  <c r="L20" i="2" s="1"/>
  <c r="R8" i="1" s="1"/>
  <c r="G19" i="4" s="1"/>
  <c r="H20" i="2"/>
  <c r="J19" i="2"/>
  <c r="L19" i="2" s="1"/>
  <c r="H19" i="2"/>
  <c r="J18" i="2"/>
  <c r="L18" i="2" s="1"/>
  <c r="H18" i="2"/>
  <c r="J17" i="2"/>
  <c r="L17" i="2" s="1"/>
  <c r="R7" i="1" s="1"/>
  <c r="G18" i="4" s="1"/>
  <c r="H17" i="2"/>
  <c r="J16" i="2"/>
  <c r="L16" i="2" s="1"/>
  <c r="H16" i="2"/>
  <c r="J15" i="2"/>
  <c r="L15" i="2" s="1"/>
  <c r="H15" i="2"/>
  <c r="J14" i="2"/>
  <c r="L14" i="2" s="1"/>
  <c r="R6" i="1" s="1"/>
  <c r="G17" i="4" s="1"/>
  <c r="H14" i="2"/>
  <c r="J13" i="2"/>
  <c r="L13" i="2" s="1"/>
  <c r="H13" i="2"/>
  <c r="J12" i="2"/>
  <c r="L12" i="2" s="1"/>
  <c r="H12" i="2"/>
  <c r="J11" i="2"/>
  <c r="L11" i="2" s="1"/>
  <c r="H11" i="2"/>
  <c r="J10" i="2"/>
  <c r="L10" i="2" s="1"/>
  <c r="H10" i="2"/>
  <c r="J9" i="2"/>
  <c r="L9" i="2" s="1"/>
  <c r="H9" i="2"/>
  <c r="J8" i="2"/>
  <c r="L8" i="2" s="1"/>
  <c r="R4" i="1" s="1"/>
  <c r="G15" i="4" s="1"/>
  <c r="H8" i="2"/>
  <c r="J7" i="2"/>
  <c r="L7" i="2" s="1"/>
  <c r="H7" i="2"/>
  <c r="J6" i="2"/>
  <c r="L6" i="2" s="1"/>
  <c r="H6" i="2"/>
  <c r="J5" i="2"/>
  <c r="L5" i="2" s="1"/>
  <c r="R3" i="1" s="1"/>
  <c r="H5" i="2"/>
  <c r="J4" i="2"/>
  <c r="L4" i="2" s="1"/>
  <c r="H4" i="2"/>
  <c r="J3" i="2"/>
  <c r="L3" i="2" s="1"/>
  <c r="H3" i="2"/>
  <c r="J2" i="2"/>
  <c r="L2" i="2" s="1"/>
  <c r="H2" i="2"/>
  <c r="P12" i="1"/>
  <c r="Q12" i="1" s="1"/>
  <c r="O12" i="1"/>
  <c r="M12" i="1"/>
  <c r="N12" i="1" s="1"/>
  <c r="C23" i="4" s="1"/>
  <c r="K12" i="1"/>
  <c r="P11" i="1"/>
  <c r="Q11" i="1" s="1"/>
  <c r="O11" i="1"/>
  <c r="M11" i="1"/>
  <c r="N11" i="1" s="1"/>
  <c r="C22" i="4" s="1"/>
  <c r="K11" i="1"/>
  <c r="P10" i="1"/>
  <c r="Q10" i="1" s="1"/>
  <c r="O10" i="1"/>
  <c r="M10" i="1"/>
  <c r="N10" i="1" s="1"/>
  <c r="C21" i="4" s="1"/>
  <c r="K10" i="1"/>
  <c r="P9" i="1"/>
  <c r="Q9" i="1" s="1"/>
  <c r="O9" i="1"/>
  <c r="M9" i="1"/>
  <c r="N9" i="1" s="1"/>
  <c r="C20" i="4" s="1"/>
  <c r="K9" i="1"/>
  <c r="P8" i="1"/>
  <c r="Q8" i="1" s="1"/>
  <c r="O8" i="1"/>
  <c r="M8" i="1"/>
  <c r="N8" i="1" s="1"/>
  <c r="C19" i="4" s="1"/>
  <c r="K8" i="1"/>
  <c r="P7" i="1"/>
  <c r="Q7" i="1" s="1"/>
  <c r="O7" i="1"/>
  <c r="N7" i="1"/>
  <c r="C18" i="4" s="1"/>
  <c r="M7" i="1"/>
  <c r="P6" i="1"/>
  <c r="Q6" i="1" s="1"/>
  <c r="O6" i="1"/>
  <c r="N6" i="1"/>
  <c r="C17" i="4" s="1"/>
  <c r="M6" i="1"/>
  <c r="K6" i="1"/>
  <c r="P5" i="1"/>
  <c r="Q5" i="1" s="1"/>
  <c r="O5" i="1"/>
  <c r="M5" i="1"/>
  <c r="N5" i="1" s="1"/>
  <c r="C16" i="4" s="1"/>
  <c r="K5" i="1"/>
  <c r="P4" i="1"/>
  <c r="Q4" i="1" s="1"/>
  <c r="O4" i="1"/>
  <c r="K4" i="1"/>
  <c r="P3" i="1"/>
  <c r="Q3" i="1" s="1"/>
  <c r="E8" i="4" s="1"/>
  <c r="O3" i="1"/>
  <c r="E7" i="4" s="1"/>
  <c r="M3" i="1"/>
  <c r="N3" i="1" s="1"/>
  <c r="K3" i="1"/>
  <c r="P2" i="1"/>
  <c r="Q2" i="1" s="1"/>
  <c r="B8" i="4" s="1"/>
  <c r="O2" i="1"/>
  <c r="B7" i="4" s="1"/>
  <c r="M2" i="1"/>
  <c r="N2" i="1" s="1"/>
  <c r="K2" i="1"/>
  <c r="E9" i="4" l="1"/>
  <c r="G14" i="4"/>
  <c r="E6" i="4"/>
  <c r="C14" i="4"/>
  <c r="B6" i="4"/>
  <c r="C13" i="4"/>
  <c r="R5" i="1"/>
  <c r="G16" i="4" s="1"/>
  <c r="R2" i="1"/>
  <c r="G13" i="4" l="1"/>
  <c r="B9" i="4"/>
</calcChain>
</file>

<file path=xl/sharedStrings.xml><?xml version="1.0" encoding="utf-8"?>
<sst xmlns="http://schemas.openxmlformats.org/spreadsheetml/2006/main" count="471" uniqueCount="235">
  <si>
    <t>Season</t>
  </si>
  <si>
    <t>Team</t>
  </si>
  <si>
    <t>Group</t>
  </si>
  <si>
    <t>Scheduled Games</t>
  </si>
  <si>
    <t>Wins</t>
  </si>
  <si>
    <t>Losses</t>
  </si>
  <si>
    <t>Off Rtg</t>
  </si>
  <si>
    <t>Def Rtg</t>
  </si>
  <si>
    <t>Net Rtg</t>
  </si>
  <si>
    <t>Preseason Odds</t>
  </si>
  <si>
    <t>Implied Title Prob.</t>
  </si>
  <si>
    <t>Core Trio</t>
  </si>
  <si>
    <t>Core WS Total</t>
  </si>
  <si>
    <t>Core WS / Team Wins</t>
  </si>
  <si>
    <t>Avg Core Net On/Off</t>
  </si>
  <si>
    <t>Core Games Missed</t>
  </si>
  <si>
    <t>Core Availability %</t>
  </si>
  <si>
    <t>Value-Weighted Games Missed</t>
  </si>
  <si>
    <t>Playoff Result</t>
  </si>
  <si>
    <t>Playoff Injury / Absence Note</t>
  </si>
  <si>
    <t>Team Stats Source</t>
  </si>
  <si>
    <t>Player WS Source</t>
  </si>
  <si>
    <t>On/Off Source</t>
  </si>
  <si>
    <t>2012-13</t>
  </si>
  <si>
    <t>Miami Heat</t>
  </si>
  <si>
    <t>Superteam</t>
  </si>
  <si>
    <t>LeBron James / Dwyane Wade / Chris Bosh</t>
  </si>
  <si>
    <t>NBA champions</t>
  </si>
  <si>
    <t>Core available for title run; Wade managed knee issues.</t>
  </si>
  <si>
    <t>https://www.basketball-reference.com/teams/MIA/2013.html</t>
  </si>
  <si>
    <t>https://www.thebasketballdatabase.com/2012-13MIARegularSeasonAdvanced.html</t>
  </si>
  <si>
    <t>https://www.thebasketballdatabase.com/2012-13MIARegularSeasonPlaybyPlay.html</t>
  </si>
  <si>
    <t>2013-14</t>
  </si>
  <si>
    <t>San Antonio Spurs</t>
  </si>
  <si>
    <t>Comparison</t>
  </si>
  <si>
    <t>Tim Duncan / Tony Parker / Kawhi Leonard</t>
  </si>
  <si>
    <t>No major core playoff absence; unusually deep rotation.</t>
  </si>
  <si>
    <t>https://www.basketball-reference.com/teams/SAS/2014.html</t>
  </si>
  <si>
    <t>https://www.thebasketballdatabase.com/2013-14SASRegularSeasonAdvanced.html</t>
  </si>
  <si>
    <t>https://www.thebasketballdatabase.com/2013-14RegularSeasonPlayerOnOffNet.html</t>
  </si>
  <si>
    <t>2015-16</t>
  </si>
  <si>
    <t>Cleveland Cavaliers</t>
  </si>
  <si>
    <t>LeBron James / Kyrie Irving / Kevin Love</t>
  </si>
  <si>
    <t>Core available in Finals; Irving began season rehabbing 2015 knee fracture.</t>
  </si>
  <si>
    <t>https://www.basketball-reference.com/teams/CLE/2016.html</t>
  </si>
  <si>
    <t>https://www.thebasketballdatabase.com/2015-16CLERegularSeasonAdvanced.html</t>
  </si>
  <si>
    <t>https://www.thebasketballdatabase.com/2015-16CLERegularSeasonPlaybyPlay.html</t>
  </si>
  <si>
    <t>2016-17</t>
  </si>
  <si>
    <t>Golden State Warriors</t>
  </si>
  <si>
    <t>Stephen Curry / Kevin Durant / Draymond Green</t>
  </si>
  <si>
    <t>Durant missed time with a knee injury but returned for the playoffs.</t>
  </si>
  <si>
    <t>https://www.basketball-reference.com/teams/GSW/2017.html</t>
  </si>
  <si>
    <t>https://www.thebasketballdatabase.com/2016-17GSWRegularSeasonAdvanced.html</t>
  </si>
  <si>
    <t>https://www.thebasketballdatabase.com/2016-17RegularSeasonPlayerOnOffNet.html</t>
  </si>
  <si>
    <t>2018-19</t>
  </si>
  <si>
    <t>Stephen Curry / Kevin Durant / Klay Thompson</t>
  </si>
  <si>
    <t>Lost NBA Finals</t>
  </si>
  <si>
    <t>Durant suffered calf/Achilles injuries; Thompson tore ACL in the Finals.</t>
  </si>
  <si>
    <t>https://www.basketball-reference.com/teams/GSW/2019.html</t>
  </si>
  <si>
    <t>https://www.thebasketballdatabase.com/2018-19GSWRegularSeasonAdvanced.html</t>
  </si>
  <si>
    <t>https://www.thebasketballdatabase.com/2018-19RegularSeasonPlayerOnOffNet.html</t>
  </si>
  <si>
    <t>Toronto Raptors</t>
  </si>
  <si>
    <t>Kawhi Leonard / Pascal Siakam / Kyle Lowry</t>
  </si>
  <si>
    <t>Leonard was load-managed in regular season; core was available through title run.</t>
  </si>
  <si>
    <t>https://www.basketball-reference.com/teams/TOR/2019.html</t>
  </si>
  <si>
    <t>https://www.thebasketballdatabase.com/2018-19TORRegularSeasonAdvanced.html</t>
  </si>
  <si>
    <t>2020-21</t>
  </si>
  <si>
    <t>Brooklyn Nets</t>
  </si>
  <si>
    <t>Kevin Durant / James Harden / Kyrie Irving</t>
  </si>
  <si>
    <t>Lost East semifinals</t>
  </si>
  <si>
    <t>Harden hamstring and Irving ankle injuries disrupted the playoff trio.</t>
  </si>
  <si>
    <t>https://www.basketball-reference.com/teams/BRK/2021.html</t>
  </si>
  <si>
    <t>https://www.thebasketballdatabase.com/2020-21BKNRegularSeasonAdvanced.html</t>
  </si>
  <si>
    <t>https://www.thebasketballdatabase.com/2020-21BKNRegularSeasonPlaybyPlay.html</t>
  </si>
  <si>
    <t>Milwaukee Bucks</t>
  </si>
  <si>
    <t>Giannis Antetokounmpo / Jrue Holiday / Khris Middleton</t>
  </si>
  <si>
    <t>Giannis hyperextended knee in East finals and returned for the Finals.</t>
  </si>
  <si>
    <t>https://www.basketball-reference.com/teams/MIL/2021.html</t>
  </si>
  <si>
    <t>https://www.thebasketballdatabase.com/2020-21MILRegularSeasonAdvanced.html</t>
  </si>
  <si>
    <t>https://www.thebasketballdatabase.com/2020-21RegularSeasonPlayerOnOffNet.html</t>
  </si>
  <si>
    <t>2021-22</t>
  </si>
  <si>
    <t>Los Angeles Lakers</t>
  </si>
  <si>
    <t>LeBron James / Anthony Davis / Russell Westbrook</t>
  </si>
  <si>
    <t>Missed playoffs</t>
  </si>
  <si>
    <t>James and Davis missed substantial time; roster never stabilized.</t>
  </si>
  <si>
    <t>https://www.basketball-reference.com/teams/LAL/2022.html</t>
  </si>
  <si>
    <t>https://www.thebasketballdatabase.com/2021-22LALRegularSeasonAdvanced.html</t>
  </si>
  <si>
    <t>https://www.thebasketballdatabase.com/2021-22RegularSeasonPlayerOnOffNet.html</t>
  </si>
  <si>
    <t>Boston Celtics</t>
  </si>
  <si>
    <t>Jayson Tatum / Jaylen Brown / Marcus Smart</t>
  </si>
  <si>
    <t>Core mostly available in playoffs; supporting-center health was a larger issue.</t>
  </si>
  <si>
    <t>https://www.basketball-reference.com/teams/BOS/2022.html</t>
  </si>
  <si>
    <t>https://www.thebasketballdatabase.com/2021-22BOSRegularSeasonAdvanced.html</t>
  </si>
  <si>
    <t>2022-23</t>
  </si>
  <si>
    <t>Denver Nuggets</t>
  </si>
  <si>
    <t>Nikola Jokic / Jamal Murray / Aaron Gordon</t>
  </si>
  <si>
    <t>Core entered playoffs healthy; Murray had returned from prior ACL absence.</t>
  </si>
  <si>
    <t>https://www.basketball-reference.com/teams/DEN/2023.html</t>
  </si>
  <si>
    <t>https://www.thebasketballdatabase.com/2022-23DENRegularSeasonAdvanced.html</t>
  </si>
  <si>
    <t>https://www.thebasketballdatabase.com/2022-23RegularSeasonPlayerOnOffNet.html</t>
  </si>
  <si>
    <t>Player</t>
  </si>
  <si>
    <t>Core Slot</t>
  </si>
  <si>
    <t>Eligible Games</t>
  </si>
  <si>
    <t>Games Played</t>
  </si>
  <si>
    <t>Games Missed</t>
  </si>
  <si>
    <t>TBDD Win Shares</t>
  </si>
  <si>
    <t>WS / Game</t>
  </si>
  <si>
    <t>Net On/Off</t>
  </si>
  <si>
    <t>Weighted Missed Value</t>
  </si>
  <si>
    <t>Absence Context</t>
  </si>
  <si>
    <t>WS Source</t>
  </si>
  <si>
    <t>LeBron James</t>
  </si>
  <si>
    <t>Minor injury/rest</t>
  </si>
  <si>
    <t>Dwyane Wade</t>
  </si>
  <si>
    <t>Knee management / minor injuries</t>
  </si>
  <si>
    <t>Chris Bosh</t>
  </si>
  <si>
    <t>Minor injury/illness</t>
  </si>
  <si>
    <t>Tim Duncan</t>
  </si>
  <si>
    <t>Rest / minor injury</t>
  </si>
  <si>
    <t>Tony Parker</t>
  </si>
  <si>
    <t>Injury / rest</t>
  </si>
  <si>
    <t>Kawhi Leonard</t>
  </si>
  <si>
    <t>Hand injury</t>
  </si>
  <si>
    <t>Kyrie Irving</t>
  </si>
  <si>
    <t>Knee fracture rehabilitation</t>
  </si>
  <si>
    <t>Kevin Love</t>
  </si>
  <si>
    <t>Minor injury / rest</t>
  </si>
  <si>
    <t>Stephen Curry</t>
  </si>
  <si>
    <t>Kevin Durant</t>
  </si>
  <si>
    <t>Knee injury</t>
  </si>
  <si>
    <t>Draymond Green</t>
  </si>
  <si>
    <t>Groin injury + other absences</t>
  </si>
  <si>
    <t>Klay Thompson</t>
  </si>
  <si>
    <t>Minor regular-season absences</t>
  </si>
  <si>
    <t>Load management / quad recovery</t>
  </si>
  <si>
    <t>Pascal Siakam</t>
  </si>
  <si>
    <t>Minimal absences</t>
  </si>
  <si>
    <t>Kyle Lowry</t>
  </si>
  <si>
    <t>Injury</t>
  </si>
  <si>
    <t>Hamstring / health protocols / rest</t>
  </si>
  <si>
    <t>James Harden</t>
  </si>
  <si>
    <t>Joined after trade; hamstring injury</t>
  </si>
  <si>
    <t>Personal reasons / protocols / minor injury</t>
  </si>
  <si>
    <t>Giannis Antetokounmpo</t>
  </si>
  <si>
    <t>Knee / other minor injuries</t>
  </si>
  <si>
    <t>Jrue Holiday</t>
  </si>
  <si>
    <t>Health protocols / other absences</t>
  </si>
  <si>
    <t>Khris Middleton</t>
  </si>
  <si>
    <t>Minor absences</t>
  </si>
  <si>
    <t>Abdominal / ankle / knee issues + suspension</t>
  </si>
  <si>
    <t>Anthony Davis</t>
  </si>
  <si>
    <t>Knee and foot/ankle injuries</t>
  </si>
  <si>
    <t>Russell Westbrook</t>
  </si>
  <si>
    <t>Mostly available</t>
  </si>
  <si>
    <t>Jayson Tatum</t>
  </si>
  <si>
    <t>Health protocols / minor absences</t>
  </si>
  <si>
    <t>Jaylen Brown</t>
  </si>
  <si>
    <t>Hamstring / other injuries</t>
  </si>
  <si>
    <t>Marcus Smart</t>
  </si>
  <si>
    <t>Injury / illness</t>
  </si>
  <si>
    <t>Nikola Jokic</t>
  </si>
  <si>
    <t>Minor injury / illness / rest</t>
  </si>
  <si>
    <t>Jamal Murray</t>
  </si>
  <si>
    <t>Post-ACL management / other absences</t>
  </si>
  <si>
    <t>Aaron Gordon</t>
  </si>
  <si>
    <t>Shoulder / other injuries</t>
  </si>
  <si>
    <t>NBA Superteam Fragility Dataset — Methodology</t>
  </si>
  <si>
    <t>Purpose</t>
  </si>
  <si>
    <t>Sample</t>
  </si>
  <si>
    <t>Six superteam seasons and five comparison contenders/champions from 2012-13 through 2022-23. The sample is illustrative, not a league-wide causal study.</t>
  </si>
  <si>
    <t>Superteam label</t>
  </si>
  <si>
    <t>A roster built around multiple established star players whose combined talent creates an unusually high concentration of top-end ability. This is a hand-coded classification for the article.</t>
  </si>
  <si>
    <t>Core trio</t>
  </si>
  <si>
    <t>Three players selected to represent the team's central star/core structure. They are not always the literal top three players by Win Shares.</t>
  </si>
  <si>
    <t>Expected value proxy</t>
  </si>
  <si>
    <t>Implied preseason championship probability from Basketball-Reference preseason title odds. Formula converts American odds into implied probability; sportsbook margin is not removed.</t>
  </si>
  <si>
    <t>Core trio Win Shares divided by actual team wins. Treat this as a descriptive concentration proxy, not a literal causal share of wins.</t>
  </si>
  <si>
    <t>Team net-rating difference with a player on the floor versus off. Useful for dependence, but affected by teammates, opponents, rotations and substitution patterns.</t>
  </si>
  <si>
    <t>Eligible Games minus Games Played, summed across the three core players. James Harden's 2020-21 eligible-game denominator begins after his Brooklyn acquisition rather than counting pre-trade Nets games as missed.</t>
  </si>
  <si>
    <t>1 - Core Games Missed / total eligible core-player games.</t>
  </si>
  <si>
    <t>For each player: (Win Shares / Games Played) × Games Missed; then summed across the core trio. This is an exposure proxy, not an estimate of counterfactual wins literally lost.</t>
  </si>
  <si>
    <t>Hand-coded, high-level context to distinguish injury, load management, health protocols, trade timing and other absences. It is not a complete medical log.</t>
  </si>
  <si>
    <t>Regular season vs playoffs</t>
  </si>
  <si>
    <t>Quantitative availability measures here are regular-season measures. Playoff injury notes are kept separately because a missed playoff game has a very different competitive cost.</t>
  </si>
  <si>
    <t>2020-21 schedule</t>
  </si>
  <si>
    <t>Brooklyn and Milwaukee played 72-game regular seasons; the other sampled seasons used 82-game schedules.</t>
  </si>
  <si>
    <t>Primary sources</t>
  </si>
  <si>
    <t>Team records/ratings/title odds: Basketball-Reference. Player Win Shares and Net On/Off: The Basketball Database. URLs are embedded in the data tabs.</t>
  </si>
  <si>
    <t>Interpretation</t>
  </si>
  <si>
    <t>The dataset should be used to compare concentration, dependence and exposure—not to claim that superteams mechanically cause injuries or that any single metric proves fragility.</t>
  </si>
  <si>
    <t>Superteam Fragility — Analysis Dashboard</t>
  </si>
  <si>
    <t>Metric</t>
  </si>
  <si>
    <t>Superteams</t>
  </si>
  <si>
    <t>Avg implied title probability</t>
  </si>
  <si>
    <t>Avg net rating</t>
  </si>
  <si>
    <t>Avg Core WS / Team Wins</t>
  </si>
  <si>
    <t>Avg core Net On/Off</t>
  </si>
  <si>
    <t>Avg core availability</t>
  </si>
  <si>
    <t>Avg value-weighted games missed</t>
  </si>
  <si>
    <t>Team-season</t>
  </si>
  <si>
    <t>2012-13 Miami Heat</t>
  </si>
  <si>
    <t>2013-14 San Antonio Spurs</t>
  </si>
  <si>
    <t>2015-16 Cleveland Cavaliers</t>
  </si>
  <si>
    <t>2016-17 Golden State Warriors</t>
  </si>
  <si>
    <t>2018-19 Golden State Warriors</t>
  </si>
  <si>
    <t>2018-19 Toronto Raptors</t>
  </si>
  <si>
    <t>2020-21 Brooklyn Nets</t>
  </si>
  <si>
    <t>2020-21 Milwaukee Bucks</t>
  </si>
  <si>
    <t>2021-22 Los Angeles Lakers</t>
  </si>
  <si>
    <t>2021-22 Boston Celtics</t>
  </si>
  <si>
    <t>2022-23 Denver Nuggets</t>
  </si>
  <si>
    <t>Read the measures together: concentration asks where team value sits; Net On/Off asks how dependent performance is on the core; value-weighted games missed asks how often the team was exposed to that dependence. None is a standalone causal test.</t>
  </si>
  <si>
    <t>Test the core idea: star aggregation can raise a team's ceiling while concentrating value and increasing exposure to a star's absence.</t>
  </si>
  <si>
    <t xml:space="preserve">https://www.thebasketballdatabase.com/2020-21BKNRegularSeasonAdvanced.html </t>
  </si>
  <si>
    <t xml:space="preserve">https://www.thebasketballdatabase.com/2018-19TORRegularSeasonAdvanced.html </t>
  </si>
  <si>
    <t xml:space="preserve">https://www.thebasketballdatabase.com/2012-13MIARegularSeasonAdvanced.html </t>
  </si>
  <si>
    <t xml:space="preserve">https://www.thebasketballdatabase.com/2013-14SASRegularSeasonAdvanced.html </t>
  </si>
  <si>
    <t xml:space="preserve">https://www.thebasketballdatabase.com/2015-16CLERegularSeasonAdvanced.html </t>
  </si>
  <si>
    <t xml:space="preserve">https://www.thebasketballdatabase.com/2016-17GSWRegularSeasonAdvanced.html </t>
  </si>
  <si>
    <t xml:space="preserve">https://www.thebasketballdatabase.com/2018-19GSWRegularSeasonAdvanced.html </t>
  </si>
  <si>
    <t xml:space="preserve">https://www.thebasketballdatabase.com/2020-21MILRegularSeasonAdvanced.html </t>
  </si>
  <si>
    <t xml:space="preserve">https://www.thebasketballdatabase.com/2021-22LALRegularSeasonAdvanced.html </t>
  </si>
  <si>
    <t xml:space="preserve">https://www.thebasketballdatabase.com/2021-22BOSRegularSeasonAdvanced.html </t>
  </si>
  <si>
    <t xml:space="preserve">https://www.thebasketballdatabase.com/2022-23DENRegularSeasonAdvanced.html </t>
  </si>
  <si>
    <t xml:space="preserve">https://www.thebasketballdatabase.com/2012-13MIARegularSeasonPlaybyPlay.html </t>
  </si>
  <si>
    <t xml:space="preserve">https://www.thebasketballdatabase.com/2013-14RegularSeasonPlayerOnOffNet.html </t>
  </si>
  <si>
    <t xml:space="preserve">https://www.thebasketballdatabase.com/2015-16CLERegularSeasonPlaybyPlay.html </t>
  </si>
  <si>
    <t xml:space="preserve">https://www.thebasketballdatabase.com/2016-17RegularSeasonPlayerOnOffNet.html </t>
  </si>
  <si>
    <t xml:space="preserve">https://www.thebasketballdatabase.com/2018-19RegularSeasonPlayerOnOffNet.html </t>
  </si>
  <si>
    <t xml:space="preserve">https://www.thebasketballdatabase.com/2020-21BKNRegularSeasonPlaybyPlay.html </t>
  </si>
  <si>
    <t xml:space="preserve">https://www.thebasketballdatabase.com/2020-21RegularSeasonPlayerOnOffNet.html </t>
  </si>
  <si>
    <t xml:space="preserve">https://www.thebasketballdatabase.com/2021-22RegularSeasonPlayerOnOffNet.html </t>
  </si>
  <si>
    <t xml:space="preserve">https://www.thebasketballdatabase.com/2022-23RegularSeasonPlayerOnOffNet.html </t>
  </si>
  <si>
    <t>Team Type</t>
  </si>
  <si>
    <t>Avg Implied Title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</si>
</sst>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;[Red]\-0"/>
    <numFmt numFmtId="166" formatCode="0.0%"/>
    <numFmt numFmtId="167" formatCode="0.000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172033"/>
      <name val="Carlito"/>
    </font>
    <font>
      <i/>
      <sz val="11"/>
      <color rgb="FF172033"/>
      <name val="Carlito"/>
    </font>
    <font>
      <sz val="11"/>
      <name val="Carlito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3E6D9C"/>
      </patternFill>
    </fill>
    <fill>
      <patternFill patternType="solid">
        <fgColor rgb="FFFFF4D6"/>
      </patternFill>
    </fill>
    <fill>
      <patternFill patternType="solid">
        <fgColor rgb="FFE8F3EC"/>
      </patternFill>
    </fill>
    <fill>
      <patternFill patternType="solid">
        <fgColor rgb="FFDCE6F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6" borderId="0" xfId="0" applyFont="1" applyFill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5" borderId="0" xfId="0" applyFill="1" applyAlignment="1">
      <alignment wrapText="1"/>
    </xf>
    <xf numFmtId="167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vertical="center" wrapText="1"/>
    </xf>
    <xf numFmtId="0" fontId="6" fillId="0" borderId="0" xfId="2" applyAlignment="1">
      <alignment wrapText="1"/>
    </xf>
    <xf numFmtId="166" fontId="0" fillId="0" borderId="0" xfId="1" applyNumberFormat="1" applyFont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Core Value Concentration by Team-Season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Group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Dashboard!$A$13:$A$23</c:f>
              <c:strCache>
                <c:ptCount val="11"/>
                <c:pt idx="0">
                  <c:v>2012-13 Miami Heat</c:v>
                </c:pt>
                <c:pt idx="1">
                  <c:v>2013-14 San Antonio Spurs</c:v>
                </c:pt>
                <c:pt idx="2">
                  <c:v>2015-16 Cleveland Cavaliers</c:v>
                </c:pt>
                <c:pt idx="3">
                  <c:v>2016-17 Golden State Warriors</c:v>
                </c:pt>
                <c:pt idx="4">
                  <c:v>2018-19 Golden State Warriors</c:v>
                </c:pt>
                <c:pt idx="5">
                  <c:v>2018-19 Toronto Raptors</c:v>
                </c:pt>
                <c:pt idx="6">
                  <c:v>2020-21 Brooklyn Nets</c:v>
                </c:pt>
                <c:pt idx="7">
                  <c:v>2020-21 Milwaukee Bucks</c:v>
                </c:pt>
                <c:pt idx="8">
                  <c:v>2021-22 Los Angeles Lakers</c:v>
                </c:pt>
                <c:pt idx="9">
                  <c:v>2021-22 Boston Celtics</c:v>
                </c:pt>
                <c:pt idx="10">
                  <c:v>2022-23 Denver Nuggets</c:v>
                </c:pt>
              </c:strCache>
            </c:strRef>
          </c:cat>
          <c:val>
            <c:numRef>
              <c:f>Dashboard!$B$13:$B$23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1-4214-9740-0D0505AF1FCF}"/>
            </c:ext>
          </c:extLst>
        </c:ser>
        <c:ser>
          <c:idx val="1"/>
          <c:order val="1"/>
          <c:tx>
            <c:v>Core WS / Team Wins</c:v>
          </c:tx>
          <c:spPr>
            <a:solidFill>
              <a:srgbClr val="156082"/>
            </a:solidFill>
            <a:ln>
              <a:noFill/>
            </a:ln>
            <a:effectLst/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D8A1-4214-9740-0D0505AF1FCF}"/>
              </c:ext>
            </c:extLst>
          </c:dPt>
          <c:cat>
            <c:strRef>
              <c:f>Dashboard!$A$13:$A$23</c:f>
              <c:strCache>
                <c:ptCount val="11"/>
                <c:pt idx="0">
                  <c:v>2012-13 Miami Heat</c:v>
                </c:pt>
                <c:pt idx="1">
                  <c:v>2013-14 San Antonio Spurs</c:v>
                </c:pt>
                <c:pt idx="2">
                  <c:v>2015-16 Cleveland Cavaliers</c:v>
                </c:pt>
                <c:pt idx="3">
                  <c:v>2016-17 Golden State Warriors</c:v>
                </c:pt>
                <c:pt idx="4">
                  <c:v>2018-19 Golden State Warriors</c:v>
                </c:pt>
                <c:pt idx="5">
                  <c:v>2018-19 Toronto Raptors</c:v>
                </c:pt>
                <c:pt idx="6">
                  <c:v>2020-21 Brooklyn Nets</c:v>
                </c:pt>
                <c:pt idx="7">
                  <c:v>2020-21 Milwaukee Bucks</c:v>
                </c:pt>
                <c:pt idx="8">
                  <c:v>2021-22 Los Angeles Lakers</c:v>
                </c:pt>
                <c:pt idx="9">
                  <c:v>2021-22 Boston Celtics</c:v>
                </c:pt>
                <c:pt idx="10">
                  <c:v>2022-23 Denver Nuggets</c:v>
                </c:pt>
              </c:strCache>
            </c:strRef>
          </c:cat>
          <c:val>
            <c:numRef>
              <c:f>Dashboard!$C$13:$C$23</c:f>
              <c:numCache>
                <c:formatCode>0.0%</c:formatCode>
                <c:ptCount val="11"/>
                <c:pt idx="0">
                  <c:v>0.59545454545454546</c:v>
                </c:pt>
                <c:pt idx="1">
                  <c:v>0.34354838709677421</c:v>
                </c:pt>
                <c:pt idx="2">
                  <c:v>0.487719298245614</c:v>
                </c:pt>
                <c:pt idx="3">
                  <c:v>0.5044776119402985</c:v>
                </c:pt>
                <c:pt idx="4">
                  <c:v>0.4631578947368421</c:v>
                </c:pt>
                <c:pt idx="5">
                  <c:v>0.45172413793103455</c:v>
                </c:pt>
                <c:pt idx="6">
                  <c:v>0.39583333333333331</c:v>
                </c:pt>
                <c:pt idx="7">
                  <c:v>0.52391304347826084</c:v>
                </c:pt>
                <c:pt idx="8">
                  <c:v>0.4363636363636364</c:v>
                </c:pt>
                <c:pt idx="9">
                  <c:v>0.42549019607843142</c:v>
                </c:pt>
                <c:pt idx="10">
                  <c:v>0.76603773584905654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D8A1-4214-9740-0D0505AF1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chemeClr val="bg1"/>
    </a:solidFill>
    <a:ln w="9525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Value-Weighted Games Missed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Group</c:v>
          </c:tx>
          <c:invertIfNegative val="1"/>
          <c:cat>
            <c:strRef>
              <c:f>Dashboard!$E$13:$E$23</c:f>
              <c:strCache>
                <c:ptCount val="11"/>
                <c:pt idx="0">
                  <c:v>2012-13 Miami Heat</c:v>
                </c:pt>
                <c:pt idx="1">
                  <c:v>2013-14 San Antonio Spurs</c:v>
                </c:pt>
                <c:pt idx="2">
                  <c:v>2015-16 Cleveland Cavaliers</c:v>
                </c:pt>
                <c:pt idx="3">
                  <c:v>2016-17 Golden State Warriors</c:v>
                </c:pt>
                <c:pt idx="4">
                  <c:v>2018-19 Golden State Warriors</c:v>
                </c:pt>
                <c:pt idx="5">
                  <c:v>2018-19 Toronto Raptors</c:v>
                </c:pt>
                <c:pt idx="6">
                  <c:v>2020-21 Brooklyn Nets</c:v>
                </c:pt>
                <c:pt idx="7">
                  <c:v>2020-21 Milwaukee Bucks</c:v>
                </c:pt>
                <c:pt idx="8">
                  <c:v>2021-22 Los Angeles Lakers</c:v>
                </c:pt>
                <c:pt idx="9">
                  <c:v>2021-22 Boston Celtics</c:v>
                </c:pt>
                <c:pt idx="10">
                  <c:v>2022-23 Denver Nuggets</c:v>
                </c:pt>
              </c:strCache>
            </c:strRef>
          </c:cat>
          <c:val>
            <c:numRef>
              <c:f>Dashboard!$F$13:$F$23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7-4FDA-BC0B-9F7AE6875368}"/>
            </c:ext>
          </c:extLst>
        </c:ser>
        <c:ser>
          <c:idx val="1"/>
          <c:order val="1"/>
          <c:tx>
            <c:v>Value-Weighted Games Missed</c:v>
          </c:tx>
          <c:spPr>
            <a:solidFill>
              <a:srgbClr val="156082"/>
            </a:solidFill>
          </c:spPr>
          <c:invertIfNegative val="1"/>
          <c:cat>
            <c:strRef>
              <c:f>Dashboard!$E$13:$E$23</c:f>
              <c:strCache>
                <c:ptCount val="11"/>
                <c:pt idx="0">
                  <c:v>2012-13 Miami Heat</c:v>
                </c:pt>
                <c:pt idx="1">
                  <c:v>2013-14 San Antonio Spurs</c:v>
                </c:pt>
                <c:pt idx="2">
                  <c:v>2015-16 Cleveland Cavaliers</c:v>
                </c:pt>
                <c:pt idx="3">
                  <c:v>2016-17 Golden State Warriors</c:v>
                </c:pt>
                <c:pt idx="4">
                  <c:v>2018-19 Golden State Warriors</c:v>
                </c:pt>
                <c:pt idx="5">
                  <c:v>2018-19 Toronto Raptors</c:v>
                </c:pt>
                <c:pt idx="6">
                  <c:v>2020-21 Brooklyn Nets</c:v>
                </c:pt>
                <c:pt idx="7">
                  <c:v>2020-21 Milwaukee Bucks</c:v>
                </c:pt>
                <c:pt idx="8">
                  <c:v>2021-22 Los Angeles Lakers</c:v>
                </c:pt>
                <c:pt idx="9">
                  <c:v>2021-22 Boston Celtics</c:v>
                </c:pt>
                <c:pt idx="10">
                  <c:v>2022-23 Denver Nuggets</c:v>
                </c:pt>
              </c:strCache>
            </c:strRef>
          </c:cat>
          <c:val>
            <c:numRef>
              <c:f>Dashboard!$G$13:$G$23</c:f>
              <c:numCache>
                <c:formatCode>0.00</c:formatCode>
                <c:ptCount val="11"/>
                <c:pt idx="0">
                  <c:v>4.4654946708722454</c:v>
                </c:pt>
                <c:pt idx="1">
                  <c:v>3.9333598304186541</c:v>
                </c:pt>
                <c:pt idx="2">
                  <c:v>4.4621654909142494</c:v>
                </c:pt>
                <c:pt idx="3">
                  <c:v>5.08373879779072</c:v>
                </c:pt>
                <c:pt idx="4">
                  <c:v>2.6839464882943145</c:v>
                </c:pt>
                <c:pt idx="5">
                  <c:v>5.6144230769230763</c:v>
                </c:pt>
                <c:pt idx="6">
                  <c:v>11.949761904761905</c:v>
                </c:pt>
                <c:pt idx="7">
                  <c:v>3.8078992530604907</c:v>
                </c:pt>
                <c:pt idx="8">
                  <c:v>8.5126923076923084</c:v>
                </c:pt>
                <c:pt idx="9">
                  <c:v>3.1259664847137048</c:v>
                </c:pt>
                <c:pt idx="10">
                  <c:v>8.423728769099613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5627-4FDA-BC0B-9F7AE6875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Dashboard!$H$3</c:f>
              <c:strCache>
                <c:ptCount val="1"/>
                <c:pt idx="0">
                  <c:v>Avg Implied Title Probability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Dashboard!$G$4:$G$5</c:f>
              <c:strCache>
                <c:ptCount val="2"/>
                <c:pt idx="0">
                  <c:v>Comparison</c:v>
                </c:pt>
                <c:pt idx="1">
                  <c:v>Superteam</c:v>
                </c:pt>
              </c:strCache>
            </c:strRef>
          </c:cat>
          <c:val>
            <c:numRef>
              <c:f>Dashboard!$H$4:$H$5</c:f>
              <c:numCache>
                <c:formatCode>0.0%</c:formatCode>
                <c:ptCount val="2"/>
                <c:pt idx="0">
                  <c:v>7.1814620980217903E-2</c:v>
                </c:pt>
                <c:pt idx="1">
                  <c:v>0.35032942095000225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B-4866-B01C-D2A4A7572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4440223"/>
        <c:axId val="1000014703"/>
      </c:barChart>
      <c:catAx>
        <c:axId val="128444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014703"/>
        <c:crosses val="autoZero"/>
        <c:auto val="1"/>
        <c:lblAlgn val="ctr"/>
        <c:lblOffset val="100"/>
        <c:noMultiLvlLbl val="0"/>
      </c:catAx>
      <c:valAx>
        <c:axId val="100001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44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200025</xdr:colOff>
      <xdr:row>1</xdr:row>
      <xdr:rowOff>80962</xdr:rowOff>
    </xdr:from>
    <xdr:to>
      <xdr:col>18</xdr:col>
      <xdr:colOff>200025</xdr:colOff>
      <xdr:row>17</xdr:row>
      <xdr:rowOff>80962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555014</xdr:colOff>
      <xdr:row>18</xdr:row>
      <xdr:rowOff>41764</xdr:rowOff>
    </xdr:from>
    <xdr:to>
      <xdr:col>24</xdr:col>
      <xdr:colOff>314325</xdr:colOff>
      <xdr:row>29</xdr:row>
      <xdr:rowOff>32239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6D52FE-52A4-FF9F-9DA2-36BF260B4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SeasonTable" displayName="TeamSeasonTable" ref="A1:W12" totalsRowShown="0">
  <tableColumns count="23">
    <tableColumn id="1" xr3:uid="{00000000-0010-0000-0000-000001000000}" name="Season"/>
    <tableColumn id="2" xr3:uid="{00000000-0010-0000-0000-000002000000}" name="Team"/>
    <tableColumn id="3" xr3:uid="{00000000-0010-0000-0000-000003000000}" name="Group"/>
    <tableColumn id="4" xr3:uid="{00000000-0010-0000-0000-000004000000}" name="Scheduled Games"/>
    <tableColumn id="5" xr3:uid="{00000000-0010-0000-0000-000005000000}" name="Wins"/>
    <tableColumn id="6" xr3:uid="{00000000-0010-0000-0000-000006000000}" name="Losses"/>
    <tableColumn id="7" xr3:uid="{00000000-0010-0000-0000-000007000000}" name="Off Rtg"/>
    <tableColumn id="8" xr3:uid="{00000000-0010-0000-0000-000008000000}" name="Def Rtg"/>
    <tableColumn id="9" xr3:uid="{00000000-0010-0000-0000-000009000000}" name="Net Rtg"/>
    <tableColumn id="10" xr3:uid="{00000000-0010-0000-0000-00000A000000}" name="Preseason Odds"/>
    <tableColumn id="11" xr3:uid="{00000000-0010-0000-0000-00000B000000}" name="Implied Title Prob."/>
    <tableColumn id="12" xr3:uid="{00000000-0010-0000-0000-00000C000000}" name="Core Trio"/>
    <tableColumn id="13" xr3:uid="{00000000-0010-0000-0000-00000D000000}" name="Core WS Total"/>
    <tableColumn id="14" xr3:uid="{00000000-0010-0000-0000-00000E000000}" name="Core WS / Team Wins"/>
    <tableColumn id="15" xr3:uid="{00000000-0010-0000-0000-00000F000000}" name="Avg Core Net On/Off"/>
    <tableColumn id="16" xr3:uid="{00000000-0010-0000-0000-000010000000}" name="Core Games Missed"/>
    <tableColumn id="17" xr3:uid="{00000000-0010-0000-0000-000011000000}" name="Core Availability %"/>
    <tableColumn id="18" xr3:uid="{00000000-0010-0000-0000-000012000000}" name="Value-Weighted Games Missed"/>
    <tableColumn id="19" xr3:uid="{00000000-0010-0000-0000-000013000000}" name="Playoff Result"/>
    <tableColumn id="20" xr3:uid="{00000000-0010-0000-0000-000014000000}" name="Playoff Injury / Absence Note"/>
    <tableColumn id="21" xr3:uid="{00000000-0010-0000-0000-000015000000}" name="Team Stats Source"/>
    <tableColumn id="22" xr3:uid="{00000000-0010-0000-0000-000016000000}" name="Player WS Source"/>
    <tableColumn id="23" xr3:uid="{00000000-0010-0000-0000-000017000000}" name="On/Off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yerCoreTable" displayName="PlayerCoreTable" ref="A1:O34" totalsRowShown="0">
  <tableColumns count="15">
    <tableColumn id="1" xr3:uid="{00000000-0010-0000-0100-000001000000}" name="Season"/>
    <tableColumn id="2" xr3:uid="{00000000-0010-0000-0100-000002000000}" name="Team"/>
    <tableColumn id="3" xr3:uid="{00000000-0010-0000-0100-000003000000}" name="Group"/>
    <tableColumn id="4" xr3:uid="{00000000-0010-0000-0100-000004000000}" name="Player"/>
    <tableColumn id="5" xr3:uid="{00000000-0010-0000-0100-000005000000}" name="Core Slot"/>
    <tableColumn id="6" xr3:uid="{00000000-0010-0000-0100-000006000000}" name="Eligible Games"/>
    <tableColumn id="7" xr3:uid="{00000000-0010-0000-0100-000007000000}" name="Games Played"/>
    <tableColumn id="8" xr3:uid="{00000000-0010-0000-0100-000008000000}" name="Games Missed"/>
    <tableColumn id="9" xr3:uid="{00000000-0010-0000-0100-000009000000}" name="TBDD Win Shares"/>
    <tableColumn id="10" xr3:uid="{00000000-0010-0000-0100-00000A000000}" name="WS / Game"/>
    <tableColumn id="11" xr3:uid="{00000000-0010-0000-0100-00000B000000}" name="Net On/Off"/>
    <tableColumn id="12" xr3:uid="{00000000-0010-0000-0100-00000C000000}" name="Weighted Missed Value"/>
    <tableColumn id="13" xr3:uid="{00000000-0010-0000-0100-00000D000000}" name="Absence Context"/>
    <tableColumn id="14" xr3:uid="{00000000-0010-0000-0100-00000E000000}" name="WS Source"/>
    <tableColumn id="15" xr3:uid="{00000000-0010-0000-0100-00000F000000}" name="On/Off 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thebasketballdatabase.com/2021-22LALRegularSeasonAdvanced.html" TargetMode="External"/><Relationship Id="rId21" Type="http://schemas.openxmlformats.org/officeDocument/2006/relationships/hyperlink" Target="https://www.thebasketballdatabase.com/2020-21BKNRegularSeasonAdvanced.html" TargetMode="External"/><Relationship Id="rId34" Type="http://schemas.openxmlformats.org/officeDocument/2006/relationships/hyperlink" Target="https://www.thebasketballdatabase.com/2012-13MIARegularSeasonPlaybyPlay.html" TargetMode="External"/><Relationship Id="rId42" Type="http://schemas.openxmlformats.org/officeDocument/2006/relationships/hyperlink" Target="https://www.thebasketballdatabase.com/2015-16CLERegularSeasonPlaybyPlay.html" TargetMode="External"/><Relationship Id="rId47" Type="http://schemas.openxmlformats.org/officeDocument/2006/relationships/hyperlink" Target="https://www.thebasketballdatabase.com/2018-19RegularSeasonPlayerOnOffNet.html" TargetMode="External"/><Relationship Id="rId50" Type="http://schemas.openxmlformats.org/officeDocument/2006/relationships/hyperlink" Target="https://www.thebasketballdatabase.com/2018-19RegularSeasonPlayerOnOffNet.html" TargetMode="External"/><Relationship Id="rId55" Type="http://schemas.openxmlformats.org/officeDocument/2006/relationships/hyperlink" Target="https://www.thebasketballdatabase.com/2020-21RegularSeasonPlayerOnOffNet.html" TargetMode="External"/><Relationship Id="rId63" Type="http://schemas.openxmlformats.org/officeDocument/2006/relationships/hyperlink" Target="https://www.thebasketballdatabase.com/2021-22RegularSeasonPlayerOnOffNet.html" TargetMode="External"/><Relationship Id="rId7" Type="http://schemas.openxmlformats.org/officeDocument/2006/relationships/hyperlink" Target="https://www.thebasketballdatabase.com/2013-14SASRegularSeasonAdvanced.html" TargetMode="External"/><Relationship Id="rId2" Type="http://schemas.openxmlformats.org/officeDocument/2006/relationships/hyperlink" Target="https://www.thebasketballdatabase.com/2020-21BKNRegularSeasonAdvanced.html" TargetMode="External"/><Relationship Id="rId16" Type="http://schemas.openxmlformats.org/officeDocument/2006/relationships/hyperlink" Target="https://www.thebasketballdatabase.com/2018-19GSWRegularSeasonAdvanced.html" TargetMode="External"/><Relationship Id="rId29" Type="http://schemas.openxmlformats.org/officeDocument/2006/relationships/hyperlink" Target="https://www.thebasketballdatabase.com/2021-22BOSRegularSeasonAdvanced.html" TargetMode="External"/><Relationship Id="rId11" Type="http://schemas.openxmlformats.org/officeDocument/2006/relationships/hyperlink" Target="https://www.thebasketballdatabase.com/2015-16CLERegularSeasonAdvanced.html" TargetMode="External"/><Relationship Id="rId24" Type="http://schemas.openxmlformats.org/officeDocument/2006/relationships/hyperlink" Target="https://www.thebasketballdatabase.com/2020-21MILRegularSeasonAdvanced.html" TargetMode="External"/><Relationship Id="rId32" Type="http://schemas.openxmlformats.org/officeDocument/2006/relationships/hyperlink" Target="https://www.thebasketballdatabase.com/2022-23DENRegularSeasonAdvanced.html" TargetMode="External"/><Relationship Id="rId37" Type="http://schemas.openxmlformats.org/officeDocument/2006/relationships/hyperlink" Target="https://www.thebasketballdatabase.com/2013-14RegularSeasonPlayerOnOffNet.html" TargetMode="External"/><Relationship Id="rId40" Type="http://schemas.openxmlformats.org/officeDocument/2006/relationships/hyperlink" Target="https://www.thebasketballdatabase.com/2015-16CLERegularSeasonPlaybyPlay.html" TargetMode="External"/><Relationship Id="rId45" Type="http://schemas.openxmlformats.org/officeDocument/2006/relationships/hyperlink" Target="https://www.thebasketballdatabase.com/2016-17RegularSeasonPlayerOnOffNet.html" TargetMode="External"/><Relationship Id="rId53" Type="http://schemas.openxmlformats.org/officeDocument/2006/relationships/hyperlink" Target="https://www.thebasketballdatabase.com/2020-21BKNRegularSeasonPlaybyPlay.html" TargetMode="External"/><Relationship Id="rId58" Type="http://schemas.openxmlformats.org/officeDocument/2006/relationships/hyperlink" Target="https://www.thebasketballdatabase.com/2021-22RegularSeasonPlayerOnOffNet.html" TargetMode="External"/><Relationship Id="rId66" Type="http://schemas.openxmlformats.org/officeDocument/2006/relationships/hyperlink" Target="https://www.thebasketballdatabase.com/2022-23RegularSeasonPlayerOnOffNet.html" TargetMode="External"/><Relationship Id="rId5" Type="http://schemas.openxmlformats.org/officeDocument/2006/relationships/hyperlink" Target="https://www.thebasketballdatabase.com/2012-13MIARegularSeasonAdvanced.html" TargetMode="External"/><Relationship Id="rId61" Type="http://schemas.openxmlformats.org/officeDocument/2006/relationships/hyperlink" Target="https://www.thebasketballdatabase.com/2021-22RegularSeasonPlayerOnOffNet.html" TargetMode="External"/><Relationship Id="rId19" Type="http://schemas.openxmlformats.org/officeDocument/2006/relationships/hyperlink" Target="https://www.thebasketballdatabase.com/2018-19TORRegularSeasonAdvanced.html" TargetMode="External"/><Relationship Id="rId14" Type="http://schemas.openxmlformats.org/officeDocument/2006/relationships/hyperlink" Target="https://www.thebasketballdatabase.com/2016-17GSWRegularSeasonAdvanced.html" TargetMode="External"/><Relationship Id="rId22" Type="http://schemas.openxmlformats.org/officeDocument/2006/relationships/hyperlink" Target="https://www.thebasketballdatabase.com/2020-21MILRegularSeasonAdvanced.html" TargetMode="External"/><Relationship Id="rId27" Type="http://schemas.openxmlformats.org/officeDocument/2006/relationships/hyperlink" Target="https://www.thebasketballdatabase.com/2021-22LALRegularSeasonAdvanced.html" TargetMode="External"/><Relationship Id="rId30" Type="http://schemas.openxmlformats.org/officeDocument/2006/relationships/hyperlink" Target="https://www.thebasketballdatabase.com/2021-22BOSRegularSeasonAdvanced.html" TargetMode="External"/><Relationship Id="rId35" Type="http://schemas.openxmlformats.org/officeDocument/2006/relationships/hyperlink" Target="https://www.thebasketballdatabase.com/2012-13MIARegularSeasonPlaybyPlay.html" TargetMode="External"/><Relationship Id="rId43" Type="http://schemas.openxmlformats.org/officeDocument/2006/relationships/hyperlink" Target="https://www.thebasketballdatabase.com/2016-17RegularSeasonPlayerOnOffNet.html" TargetMode="External"/><Relationship Id="rId48" Type="http://schemas.openxmlformats.org/officeDocument/2006/relationships/hyperlink" Target="https://www.thebasketballdatabase.com/2018-19RegularSeasonPlayerOnOffNet.html" TargetMode="External"/><Relationship Id="rId56" Type="http://schemas.openxmlformats.org/officeDocument/2006/relationships/hyperlink" Target="https://www.thebasketballdatabase.com/2020-21RegularSeasonPlayerOnOffNet.html" TargetMode="External"/><Relationship Id="rId64" Type="http://schemas.openxmlformats.org/officeDocument/2006/relationships/hyperlink" Target="https://www.thebasketballdatabase.com/2022-23RegularSeasonPlayerOnOffNet.html" TargetMode="External"/><Relationship Id="rId8" Type="http://schemas.openxmlformats.org/officeDocument/2006/relationships/hyperlink" Target="https://www.thebasketballdatabase.com/2013-14SASRegularSeasonAdvanced.html" TargetMode="External"/><Relationship Id="rId51" Type="http://schemas.openxmlformats.org/officeDocument/2006/relationships/hyperlink" Target="https://www.thebasketballdatabase.com/2018-19RegularSeasonPlayerOnOffNet.html" TargetMode="External"/><Relationship Id="rId3" Type="http://schemas.openxmlformats.org/officeDocument/2006/relationships/hyperlink" Target="https://www.thebasketballdatabase.com/2018-19TORRegularSeasonAdvanced.html" TargetMode="External"/><Relationship Id="rId12" Type="http://schemas.openxmlformats.org/officeDocument/2006/relationships/hyperlink" Target="https://www.thebasketballdatabase.com/2015-16CLERegularSeasonAdvanced.html" TargetMode="External"/><Relationship Id="rId17" Type="http://schemas.openxmlformats.org/officeDocument/2006/relationships/hyperlink" Target="https://www.thebasketballdatabase.com/2018-19GSWRegularSeasonAdvanced.html" TargetMode="External"/><Relationship Id="rId25" Type="http://schemas.openxmlformats.org/officeDocument/2006/relationships/hyperlink" Target="https://www.thebasketballdatabase.com/2021-22LALRegularSeasonAdvanced.html" TargetMode="External"/><Relationship Id="rId33" Type="http://schemas.openxmlformats.org/officeDocument/2006/relationships/hyperlink" Target="https://www.thebasketballdatabase.com/2022-23DENRegularSeasonAdvanced.html" TargetMode="External"/><Relationship Id="rId38" Type="http://schemas.openxmlformats.org/officeDocument/2006/relationships/hyperlink" Target="https://www.thebasketballdatabase.com/2013-14RegularSeasonPlayerOnOffNet.html" TargetMode="External"/><Relationship Id="rId46" Type="http://schemas.openxmlformats.org/officeDocument/2006/relationships/hyperlink" Target="https://www.thebasketballdatabase.com/2018-19RegularSeasonPlayerOnOffNet.html" TargetMode="External"/><Relationship Id="rId59" Type="http://schemas.openxmlformats.org/officeDocument/2006/relationships/hyperlink" Target="https://www.thebasketballdatabase.com/2021-22RegularSeasonPlayerOnOffNet.html" TargetMode="External"/><Relationship Id="rId67" Type="http://schemas.openxmlformats.org/officeDocument/2006/relationships/table" Target="../tables/table2.xml"/><Relationship Id="rId20" Type="http://schemas.openxmlformats.org/officeDocument/2006/relationships/hyperlink" Target="https://www.thebasketballdatabase.com/2018-19TORRegularSeasonAdvanced.html" TargetMode="External"/><Relationship Id="rId41" Type="http://schemas.openxmlformats.org/officeDocument/2006/relationships/hyperlink" Target="https://www.thebasketballdatabase.com/2015-16CLERegularSeasonPlaybyPlay.html" TargetMode="External"/><Relationship Id="rId54" Type="http://schemas.openxmlformats.org/officeDocument/2006/relationships/hyperlink" Target="https://www.thebasketballdatabase.com/2020-21BKNRegularSeasonPlaybyPlay.html" TargetMode="External"/><Relationship Id="rId62" Type="http://schemas.openxmlformats.org/officeDocument/2006/relationships/hyperlink" Target="https://www.thebasketballdatabase.com/2021-22RegularSeasonPlayerOnOffNet.html" TargetMode="External"/><Relationship Id="rId1" Type="http://schemas.openxmlformats.org/officeDocument/2006/relationships/hyperlink" Target="https://www.thebasketballdatabase.com/2020-21BKNRegularSeasonAdvanced.html" TargetMode="External"/><Relationship Id="rId6" Type="http://schemas.openxmlformats.org/officeDocument/2006/relationships/hyperlink" Target="https://www.thebasketballdatabase.com/2012-13MIARegularSeasonAdvanced.html" TargetMode="External"/><Relationship Id="rId15" Type="http://schemas.openxmlformats.org/officeDocument/2006/relationships/hyperlink" Target="https://www.thebasketballdatabase.com/2016-17GSWRegularSeasonAdvanced.html" TargetMode="External"/><Relationship Id="rId23" Type="http://schemas.openxmlformats.org/officeDocument/2006/relationships/hyperlink" Target="https://www.thebasketballdatabase.com/2020-21MILRegularSeasonAdvanced.html" TargetMode="External"/><Relationship Id="rId28" Type="http://schemas.openxmlformats.org/officeDocument/2006/relationships/hyperlink" Target="https://www.thebasketballdatabase.com/2021-22BOSRegularSeasonAdvanced.html" TargetMode="External"/><Relationship Id="rId36" Type="http://schemas.openxmlformats.org/officeDocument/2006/relationships/hyperlink" Target="https://www.thebasketballdatabase.com/2012-13MIARegularSeasonPlaybyPlay.html" TargetMode="External"/><Relationship Id="rId49" Type="http://schemas.openxmlformats.org/officeDocument/2006/relationships/hyperlink" Target="https://www.thebasketballdatabase.com/2018-19RegularSeasonPlayerOnOffNet.html" TargetMode="External"/><Relationship Id="rId57" Type="http://schemas.openxmlformats.org/officeDocument/2006/relationships/hyperlink" Target="https://www.thebasketballdatabase.com/2020-21RegularSeasonPlayerOnOffNet.html" TargetMode="External"/><Relationship Id="rId10" Type="http://schemas.openxmlformats.org/officeDocument/2006/relationships/hyperlink" Target="https://www.thebasketballdatabase.com/2015-16CLERegularSeasonAdvanced.html" TargetMode="External"/><Relationship Id="rId31" Type="http://schemas.openxmlformats.org/officeDocument/2006/relationships/hyperlink" Target="https://www.thebasketballdatabase.com/2022-23DENRegularSeasonAdvanced.html" TargetMode="External"/><Relationship Id="rId44" Type="http://schemas.openxmlformats.org/officeDocument/2006/relationships/hyperlink" Target="https://www.thebasketballdatabase.com/2016-17RegularSeasonPlayerOnOffNet.html" TargetMode="External"/><Relationship Id="rId52" Type="http://schemas.openxmlformats.org/officeDocument/2006/relationships/hyperlink" Target="https://www.thebasketballdatabase.com/2020-21BKNRegularSeasonPlaybyPlay.html" TargetMode="External"/><Relationship Id="rId60" Type="http://schemas.openxmlformats.org/officeDocument/2006/relationships/hyperlink" Target="https://www.thebasketballdatabase.com/2021-22RegularSeasonPlayerOnOffNet.html" TargetMode="External"/><Relationship Id="rId65" Type="http://schemas.openxmlformats.org/officeDocument/2006/relationships/hyperlink" Target="https://www.thebasketballdatabase.com/2022-23RegularSeasonPlayerOnOffNet.html" TargetMode="External"/><Relationship Id="rId4" Type="http://schemas.openxmlformats.org/officeDocument/2006/relationships/hyperlink" Target="https://www.thebasketballdatabase.com/2012-13MIARegularSeasonAdvanced.html" TargetMode="External"/><Relationship Id="rId9" Type="http://schemas.openxmlformats.org/officeDocument/2006/relationships/hyperlink" Target="https://www.thebasketballdatabase.com/2013-14SASRegularSeasonAdvanced.html" TargetMode="External"/><Relationship Id="rId13" Type="http://schemas.openxmlformats.org/officeDocument/2006/relationships/hyperlink" Target="https://www.thebasketballdatabase.com/2016-17GSWRegularSeasonAdvanced.html" TargetMode="External"/><Relationship Id="rId18" Type="http://schemas.openxmlformats.org/officeDocument/2006/relationships/hyperlink" Target="https://www.thebasketballdatabase.com/2018-19GSWRegularSeasonAdvanced.html" TargetMode="External"/><Relationship Id="rId39" Type="http://schemas.openxmlformats.org/officeDocument/2006/relationships/hyperlink" Target="https://www.thebasketballdatabase.com/2013-14RegularSeasonPlayerOnOffNet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workbookViewId="0">
      <selection activeCell="J6" sqref="J6"/>
    </sheetView>
  </sheetViews>
  <sheetFormatPr defaultRowHeight="13.5"/>
  <cols>
    <col min="1" max="1" width="10" customWidth="1"/>
    <col min="2" max="2" width="22" customWidth="1"/>
    <col min="3" max="3" width="12" customWidth="1"/>
    <col min="4" max="4" width="14" customWidth="1"/>
    <col min="5" max="6" width="8" customWidth="1"/>
    <col min="7" max="9" width="10" customWidth="1"/>
    <col min="10" max="10" width="14" customWidth="1"/>
    <col min="11" max="11" width="16" customWidth="1"/>
    <col min="12" max="12" width="38" customWidth="1"/>
    <col min="13" max="13" width="14" customWidth="1"/>
    <col min="14" max="14" width="18" customWidth="1"/>
    <col min="15" max="15" width="19" customWidth="1"/>
    <col min="16" max="16" width="17" customWidth="1"/>
    <col min="17" max="17" width="18" customWidth="1"/>
    <col min="18" max="18" width="24" customWidth="1"/>
    <col min="19" max="19" width="18" customWidth="1"/>
    <col min="20" max="20" width="42" customWidth="1"/>
    <col min="21" max="23" width="45" customWidth="1"/>
  </cols>
  <sheetData>
    <row r="1" spans="1:23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7">
      <c r="A2" s="6" t="s">
        <v>23</v>
      </c>
      <c r="B2" s="6" t="s">
        <v>24</v>
      </c>
      <c r="C2" s="6" t="s">
        <v>25</v>
      </c>
      <c r="D2" s="4">
        <v>82</v>
      </c>
      <c r="E2" s="4">
        <v>66</v>
      </c>
      <c r="F2" s="4">
        <v>16</v>
      </c>
      <c r="G2" s="7">
        <v>112.3</v>
      </c>
      <c r="H2" s="7">
        <v>103.7</v>
      </c>
      <c r="I2" s="7">
        <v>8.6</v>
      </c>
      <c r="J2" s="8">
        <v>225</v>
      </c>
      <c r="K2" s="9">
        <f t="shared" ref="K2:K12" si="0">IF(J2&gt;0,100/(J2+100),ABS(J2)/(ABS(J2)+100))</f>
        <v>0.30769230769230771</v>
      </c>
      <c r="L2" s="4" t="s">
        <v>26</v>
      </c>
      <c r="M2" s="7">
        <f>SUM(Player_Core!I2:I4)</f>
        <v>39.299999999999997</v>
      </c>
      <c r="N2" s="9">
        <f t="shared" ref="N2:N12" si="1">IF(E2=0,0,M2/E2)</f>
        <v>0.59545454545454546</v>
      </c>
      <c r="O2" s="10">
        <f>AVERAGE(Player_Core!K2:K4)</f>
        <v>8.6233333333333331</v>
      </c>
      <c r="P2" s="4">
        <f>SUM(Player_Core!H2:H4)</f>
        <v>27</v>
      </c>
      <c r="Q2" s="9">
        <f>1-P2/SUM(Player_Core!F2:F4)</f>
        <v>0.8902439024390244</v>
      </c>
      <c r="R2" s="10">
        <f>SUM(Player_Core!L2:L4)</f>
        <v>4.4654946708722454</v>
      </c>
      <c r="S2" s="4" t="s">
        <v>27</v>
      </c>
      <c r="T2" s="4" t="s">
        <v>28</v>
      </c>
      <c r="U2" s="4" t="s">
        <v>29</v>
      </c>
      <c r="V2" s="4" t="s">
        <v>30</v>
      </c>
      <c r="W2" s="4" t="s">
        <v>31</v>
      </c>
    </row>
    <row r="3" spans="1:23" ht="27">
      <c r="A3" s="11" t="s">
        <v>32</v>
      </c>
      <c r="B3" s="11" t="s">
        <v>33</v>
      </c>
      <c r="C3" s="11" t="s">
        <v>34</v>
      </c>
      <c r="D3" s="4">
        <v>82</v>
      </c>
      <c r="E3" s="4">
        <v>62</v>
      </c>
      <c r="F3" s="4">
        <v>20</v>
      </c>
      <c r="G3" s="7">
        <v>110.5</v>
      </c>
      <c r="H3" s="7">
        <v>102.4</v>
      </c>
      <c r="I3" s="7">
        <v>8.1</v>
      </c>
      <c r="J3" s="8">
        <v>1200</v>
      </c>
      <c r="K3" s="9">
        <f t="shared" si="0"/>
        <v>7.6923076923076927E-2</v>
      </c>
      <c r="L3" s="4" t="s">
        <v>35</v>
      </c>
      <c r="M3" s="7">
        <f>SUM(Player_Core!I5:I7)</f>
        <v>21.3</v>
      </c>
      <c r="N3" s="9">
        <f t="shared" si="1"/>
        <v>0.34354838709677421</v>
      </c>
      <c r="O3" s="10">
        <f>AVERAGE(Player_Core!K5:K7)</f>
        <v>-1.4799999999999998</v>
      </c>
      <c r="P3" s="4">
        <f>SUM(Player_Core!H5:H7)</f>
        <v>38</v>
      </c>
      <c r="Q3" s="9">
        <f>1-P3/SUM(Player_Core!F5:F7)</f>
        <v>0.84552845528455278</v>
      </c>
      <c r="R3" s="10">
        <f>SUM(Player_Core!L5:L7)</f>
        <v>3.9333598304186541</v>
      </c>
      <c r="S3" s="4" t="s">
        <v>27</v>
      </c>
      <c r="T3" s="4" t="s">
        <v>36</v>
      </c>
      <c r="U3" s="4" t="s">
        <v>37</v>
      </c>
      <c r="V3" s="4" t="s">
        <v>38</v>
      </c>
      <c r="W3" s="4" t="s">
        <v>39</v>
      </c>
    </row>
    <row r="4" spans="1:23" ht="27">
      <c r="A4" s="6" t="s">
        <v>40</v>
      </c>
      <c r="B4" s="6" t="s">
        <v>41</v>
      </c>
      <c r="C4" s="6" t="s">
        <v>25</v>
      </c>
      <c r="D4" s="4">
        <v>82</v>
      </c>
      <c r="E4" s="4">
        <v>57</v>
      </c>
      <c r="F4" s="4">
        <v>25</v>
      </c>
      <c r="G4" s="7">
        <v>110.9</v>
      </c>
      <c r="H4" s="7">
        <v>104.5</v>
      </c>
      <c r="I4" s="7">
        <v>6.4</v>
      </c>
      <c r="J4" s="8">
        <v>280</v>
      </c>
      <c r="K4" s="9">
        <f t="shared" si="0"/>
        <v>0.26315789473684209</v>
      </c>
      <c r="L4" s="4" t="s">
        <v>42</v>
      </c>
      <c r="M4" s="7">
        <f>SUM(Player_Core!I8:I10)</f>
        <v>27.799999999999997</v>
      </c>
      <c r="N4" s="9">
        <f t="shared" si="1"/>
        <v>0.487719298245614</v>
      </c>
      <c r="O4" s="10">
        <f>AVERAGE(Player_Core!K8:K10)</f>
        <v>6.4666666666666677</v>
      </c>
      <c r="P4" s="4">
        <f>SUM(Player_Core!H8:H10)</f>
        <v>40</v>
      </c>
      <c r="Q4" s="9">
        <f>1-P4/SUM(Player_Core!F8:F10)</f>
        <v>0.83739837398373984</v>
      </c>
      <c r="R4" s="10">
        <f>SUM(Player_Core!L8:L10)</f>
        <v>4.4621654909142494</v>
      </c>
      <c r="S4" s="4" t="s">
        <v>27</v>
      </c>
      <c r="T4" s="4" t="s">
        <v>43</v>
      </c>
      <c r="U4" s="4" t="s">
        <v>44</v>
      </c>
      <c r="V4" s="4" t="s">
        <v>45</v>
      </c>
      <c r="W4" s="4" t="s">
        <v>46</v>
      </c>
    </row>
    <row r="5" spans="1:23" ht="27">
      <c r="A5" s="6" t="s">
        <v>47</v>
      </c>
      <c r="B5" s="6" t="s">
        <v>48</v>
      </c>
      <c r="C5" s="6" t="s">
        <v>25</v>
      </c>
      <c r="D5" s="4">
        <v>82</v>
      </c>
      <c r="E5" s="4">
        <v>67</v>
      </c>
      <c r="F5" s="4">
        <v>15</v>
      </c>
      <c r="G5" s="7">
        <v>115.6</v>
      </c>
      <c r="H5" s="7">
        <v>104</v>
      </c>
      <c r="I5" s="7">
        <v>11.6</v>
      </c>
      <c r="J5" s="8">
        <v>-128</v>
      </c>
      <c r="K5" s="9">
        <f t="shared" si="0"/>
        <v>0.56140350877192979</v>
      </c>
      <c r="L5" s="4" t="s">
        <v>49</v>
      </c>
      <c r="M5" s="7">
        <f>SUM(Player_Core!I11:I13)</f>
        <v>33.799999999999997</v>
      </c>
      <c r="N5" s="9">
        <f t="shared" si="1"/>
        <v>0.5044776119402985</v>
      </c>
      <c r="O5" s="10">
        <f>AVERAGE(Player_Core!K11:K13)</f>
        <v>12.746666666666668</v>
      </c>
      <c r="P5" s="4">
        <f>SUM(Player_Core!H11:H13)</f>
        <v>29</v>
      </c>
      <c r="Q5" s="9">
        <f>1-P5/SUM(Player_Core!F11:F13)</f>
        <v>0.88211382113821135</v>
      </c>
      <c r="R5" s="10">
        <f>SUM(Player_Core!L11:L13)</f>
        <v>5.08373879779072</v>
      </c>
      <c r="S5" s="4" t="s">
        <v>27</v>
      </c>
      <c r="T5" s="4" t="s">
        <v>50</v>
      </c>
      <c r="U5" s="4" t="s">
        <v>51</v>
      </c>
      <c r="V5" s="4" t="s">
        <v>52</v>
      </c>
      <c r="W5" s="4" t="s">
        <v>53</v>
      </c>
    </row>
    <row r="6" spans="1:23" ht="27">
      <c r="A6" s="6" t="s">
        <v>54</v>
      </c>
      <c r="B6" s="6" t="s">
        <v>48</v>
      </c>
      <c r="C6" s="6" t="s">
        <v>25</v>
      </c>
      <c r="D6" s="4">
        <v>82</v>
      </c>
      <c r="E6" s="4">
        <v>57</v>
      </c>
      <c r="F6" s="4">
        <v>25</v>
      </c>
      <c r="G6" s="7">
        <v>115.9</v>
      </c>
      <c r="H6" s="7">
        <v>109.5</v>
      </c>
      <c r="I6" s="7">
        <v>6.4</v>
      </c>
      <c r="J6" s="8">
        <v>-168</v>
      </c>
      <c r="K6" s="9">
        <f t="shared" si="0"/>
        <v>0.62686567164179108</v>
      </c>
      <c r="L6" s="4" t="s">
        <v>55</v>
      </c>
      <c r="M6" s="7">
        <f>SUM(Player_Core!I14:I16)</f>
        <v>26.4</v>
      </c>
      <c r="N6" s="9">
        <f t="shared" si="1"/>
        <v>0.4631578947368421</v>
      </c>
      <c r="O6" s="10">
        <f>AVERAGE(Player_Core!K14:K16)</f>
        <v>10.65</v>
      </c>
      <c r="P6" s="4">
        <f>SUM(Player_Core!H14:H16)</f>
        <v>21</v>
      </c>
      <c r="Q6" s="9">
        <f>1-P6/SUM(Player_Core!F14:F16)</f>
        <v>0.91463414634146345</v>
      </c>
      <c r="R6" s="10">
        <f>SUM(Player_Core!L14:L16)</f>
        <v>2.6839464882943145</v>
      </c>
      <c r="S6" s="4" t="s">
        <v>56</v>
      </c>
      <c r="T6" s="4" t="s">
        <v>57</v>
      </c>
      <c r="U6" s="4" t="s">
        <v>58</v>
      </c>
      <c r="V6" s="4" t="s">
        <v>59</v>
      </c>
      <c r="W6" s="4" t="s">
        <v>60</v>
      </c>
    </row>
    <row r="7" spans="1:23" ht="27">
      <c r="A7" s="11" t="s">
        <v>54</v>
      </c>
      <c r="B7" s="11" t="s">
        <v>61</v>
      </c>
      <c r="C7" s="11" t="s">
        <v>34</v>
      </c>
      <c r="D7" s="4">
        <v>82</v>
      </c>
      <c r="E7" s="4">
        <v>58</v>
      </c>
      <c r="F7" s="4">
        <v>24</v>
      </c>
      <c r="G7" s="7">
        <v>113.1</v>
      </c>
      <c r="H7" s="7">
        <v>107.1</v>
      </c>
      <c r="I7" s="7">
        <v>6</v>
      </c>
      <c r="J7" s="8">
        <v>1850</v>
      </c>
      <c r="K7" s="9">
        <f>IF(J7&gt;0,100/(J7+100),ABS(J7)/(ABS(J7)+100))</f>
        <v>5.128205128205128E-2</v>
      </c>
      <c r="L7" s="4" t="s">
        <v>62</v>
      </c>
      <c r="M7" s="7">
        <f>SUM(Player_Core!I17:I19)</f>
        <v>26.200000000000003</v>
      </c>
      <c r="N7" s="9">
        <f t="shared" si="1"/>
        <v>0.45172413793103455</v>
      </c>
      <c r="O7" s="10">
        <f>AVERAGE(Player_Core!K17:K19)</f>
        <v>9.9099999999999984</v>
      </c>
      <c r="P7" s="4">
        <f>SUM(Player_Core!H17:H19)</f>
        <v>41</v>
      </c>
      <c r="Q7" s="9">
        <f>1-P7/SUM(Player_Core!F17:F19)</f>
        <v>0.83333333333333337</v>
      </c>
      <c r="R7" s="10">
        <f>SUM(Player_Core!L17:L19)</f>
        <v>5.6144230769230763</v>
      </c>
      <c r="S7" s="4" t="s">
        <v>27</v>
      </c>
      <c r="T7" s="4" t="s">
        <v>63</v>
      </c>
      <c r="U7" s="4" t="s">
        <v>64</v>
      </c>
      <c r="V7" s="4" t="s">
        <v>65</v>
      </c>
      <c r="W7" s="4" t="s">
        <v>60</v>
      </c>
    </row>
    <row r="8" spans="1:23" ht="27">
      <c r="A8" s="6" t="s">
        <v>66</v>
      </c>
      <c r="B8" s="6" t="s">
        <v>67</v>
      </c>
      <c r="C8" s="6" t="s">
        <v>25</v>
      </c>
      <c r="D8" s="4">
        <v>72</v>
      </c>
      <c r="E8" s="4">
        <v>48</v>
      </c>
      <c r="F8" s="4">
        <v>24</v>
      </c>
      <c r="G8" s="7">
        <v>118.3</v>
      </c>
      <c r="H8" s="7">
        <v>113.8</v>
      </c>
      <c r="I8" s="7">
        <v>4.5</v>
      </c>
      <c r="J8" s="8">
        <v>600</v>
      </c>
      <c r="K8" s="9">
        <f t="shared" si="0"/>
        <v>0.14285714285714285</v>
      </c>
      <c r="L8" s="4" t="s">
        <v>68</v>
      </c>
      <c r="M8" s="7">
        <f>SUM(Player_Core!I20:I22)</f>
        <v>19</v>
      </c>
      <c r="N8" s="9">
        <f t="shared" si="1"/>
        <v>0.39583333333333331</v>
      </c>
      <c r="O8" s="10">
        <f>AVERAGE(Player_Core!K20:K22)</f>
        <v>4.4400000000000004</v>
      </c>
      <c r="P8" s="4">
        <f>SUM(Player_Core!H20:H22)</f>
        <v>78</v>
      </c>
      <c r="Q8" s="9">
        <f>1-P8/SUM(Player_Core!F20:F22)</f>
        <v>0.61576354679802958</v>
      </c>
      <c r="R8" s="10">
        <f>SUM(Player_Core!L20:L22)</f>
        <v>11.949761904761905</v>
      </c>
      <c r="S8" s="4" t="s">
        <v>69</v>
      </c>
      <c r="T8" s="4" t="s">
        <v>70</v>
      </c>
      <c r="U8" s="4" t="s">
        <v>71</v>
      </c>
      <c r="V8" s="4" t="s">
        <v>72</v>
      </c>
      <c r="W8" s="4" t="s">
        <v>73</v>
      </c>
    </row>
    <row r="9" spans="1:23" ht="27">
      <c r="A9" s="11" t="s">
        <v>66</v>
      </c>
      <c r="B9" s="11" t="s">
        <v>74</v>
      </c>
      <c r="C9" s="11" t="s">
        <v>34</v>
      </c>
      <c r="D9" s="4">
        <v>72</v>
      </c>
      <c r="E9" s="4">
        <v>46</v>
      </c>
      <c r="F9" s="4">
        <v>26</v>
      </c>
      <c r="G9" s="7">
        <v>117.2</v>
      </c>
      <c r="H9" s="7">
        <v>111.4</v>
      </c>
      <c r="I9" s="7">
        <v>5.7</v>
      </c>
      <c r="J9" s="8">
        <v>550</v>
      </c>
      <c r="K9" s="9">
        <f t="shared" si="0"/>
        <v>0.15384615384615385</v>
      </c>
      <c r="L9" s="4" t="s">
        <v>75</v>
      </c>
      <c r="M9" s="7">
        <f>SUM(Player_Core!I23:I25)</f>
        <v>24.099999999999998</v>
      </c>
      <c r="N9" s="9">
        <f t="shared" si="1"/>
        <v>0.52391304347826084</v>
      </c>
      <c r="O9" s="10">
        <f>AVERAGE(Player_Core!K23:K25)</f>
        <v>4.2766666666666664</v>
      </c>
      <c r="P9" s="4">
        <f>SUM(Player_Core!H23:H25)</f>
        <v>28</v>
      </c>
      <c r="Q9" s="9">
        <f>1-P9/SUM(Player_Core!F23:F25)</f>
        <v>0.87037037037037035</v>
      </c>
      <c r="R9" s="10">
        <f>SUM(Player_Core!L23:L25)</f>
        <v>3.8078992530604907</v>
      </c>
      <c r="S9" s="4" t="s">
        <v>27</v>
      </c>
      <c r="T9" s="4" t="s">
        <v>76</v>
      </c>
      <c r="U9" s="4" t="s">
        <v>77</v>
      </c>
      <c r="V9" s="4" t="s">
        <v>78</v>
      </c>
      <c r="W9" s="4" t="s">
        <v>79</v>
      </c>
    </row>
    <row r="10" spans="1:23" ht="27">
      <c r="A10" s="6" t="s">
        <v>80</v>
      </c>
      <c r="B10" s="6" t="s">
        <v>81</v>
      </c>
      <c r="C10" s="6" t="s">
        <v>25</v>
      </c>
      <c r="D10" s="4">
        <v>82</v>
      </c>
      <c r="E10" s="4">
        <v>33</v>
      </c>
      <c r="F10" s="4">
        <v>49</v>
      </c>
      <c r="G10" s="7">
        <v>110.3</v>
      </c>
      <c r="H10" s="7">
        <v>113.3</v>
      </c>
      <c r="I10" s="7">
        <v>-3</v>
      </c>
      <c r="J10" s="8">
        <v>400</v>
      </c>
      <c r="K10" s="9">
        <f t="shared" si="0"/>
        <v>0.2</v>
      </c>
      <c r="L10" s="4" t="s">
        <v>82</v>
      </c>
      <c r="M10" s="7">
        <f>SUM(Player_Core!I26:I28)</f>
        <v>14.4</v>
      </c>
      <c r="N10" s="9">
        <f t="shared" si="1"/>
        <v>0.4363636363636364</v>
      </c>
      <c r="O10" s="10">
        <f>AVERAGE(Player_Core!K26:K28)</f>
        <v>-0.25</v>
      </c>
      <c r="P10" s="4">
        <f>SUM(Player_Core!H26:H28)</f>
        <v>72</v>
      </c>
      <c r="Q10" s="9">
        <f>1-P10/SUM(Player_Core!F26:F28)</f>
        <v>0.70731707317073167</v>
      </c>
      <c r="R10" s="10">
        <f>SUM(Player_Core!L26:L28)</f>
        <v>8.5126923076923084</v>
      </c>
      <c r="S10" s="4" t="s">
        <v>83</v>
      </c>
      <c r="T10" s="4" t="s">
        <v>84</v>
      </c>
      <c r="U10" s="4" t="s">
        <v>85</v>
      </c>
      <c r="V10" s="4" t="s">
        <v>86</v>
      </c>
      <c r="W10" s="4" t="s">
        <v>87</v>
      </c>
    </row>
    <row r="11" spans="1:23" ht="27">
      <c r="A11" s="11" t="s">
        <v>80</v>
      </c>
      <c r="B11" s="11" t="s">
        <v>88</v>
      </c>
      <c r="C11" s="11" t="s">
        <v>34</v>
      </c>
      <c r="D11" s="4">
        <v>82</v>
      </c>
      <c r="E11" s="4">
        <v>51</v>
      </c>
      <c r="F11" s="4">
        <v>31</v>
      </c>
      <c r="G11" s="7">
        <v>114.4</v>
      </c>
      <c r="H11" s="7">
        <v>106.9</v>
      </c>
      <c r="I11" s="7">
        <v>7.5</v>
      </c>
      <c r="J11" s="8">
        <v>4000</v>
      </c>
      <c r="K11" s="9">
        <f t="shared" si="0"/>
        <v>2.4390243902439025E-2</v>
      </c>
      <c r="L11" s="4" t="s">
        <v>89</v>
      </c>
      <c r="M11" s="7">
        <f>SUM(Player_Core!I29:I31)</f>
        <v>21.700000000000003</v>
      </c>
      <c r="N11" s="9">
        <f t="shared" si="1"/>
        <v>0.42549019607843142</v>
      </c>
      <c r="O11" s="10">
        <f>AVERAGE(Player_Core!K29:K31)</f>
        <v>8.2833333333333332</v>
      </c>
      <c r="P11" s="4">
        <f>SUM(Player_Core!H29:H31)</f>
        <v>33</v>
      </c>
      <c r="Q11" s="9">
        <f>1-P11/SUM(Player_Core!F29:F31)</f>
        <v>0.86585365853658536</v>
      </c>
      <c r="R11" s="10">
        <f>SUM(Player_Core!L29:L31)</f>
        <v>3.1259664847137048</v>
      </c>
      <c r="S11" s="4" t="s">
        <v>56</v>
      </c>
      <c r="T11" s="4" t="s">
        <v>90</v>
      </c>
      <c r="U11" s="4" t="s">
        <v>91</v>
      </c>
      <c r="V11" s="4" t="s">
        <v>92</v>
      </c>
      <c r="W11" s="4" t="s">
        <v>87</v>
      </c>
    </row>
    <row r="12" spans="1:23" ht="27">
      <c r="A12" s="11" t="s">
        <v>93</v>
      </c>
      <c r="B12" s="11" t="s">
        <v>94</v>
      </c>
      <c r="C12" s="11" t="s">
        <v>34</v>
      </c>
      <c r="D12" s="4">
        <v>82</v>
      </c>
      <c r="E12" s="4">
        <v>53</v>
      </c>
      <c r="F12" s="4">
        <v>29</v>
      </c>
      <c r="G12" s="7">
        <v>117.6</v>
      </c>
      <c r="H12" s="7">
        <v>114.2</v>
      </c>
      <c r="I12" s="7">
        <v>3.4</v>
      </c>
      <c r="J12" s="8">
        <v>1800</v>
      </c>
      <c r="K12" s="9">
        <f t="shared" si="0"/>
        <v>5.2631578947368418E-2</v>
      </c>
      <c r="L12" s="4" t="s">
        <v>95</v>
      </c>
      <c r="M12" s="7">
        <f>SUM(Player_Core!I32:I34)</f>
        <v>40.599999999999994</v>
      </c>
      <c r="N12" s="9">
        <f t="shared" si="1"/>
        <v>0.76603773584905654</v>
      </c>
      <c r="O12" s="10">
        <f>AVERAGE(Player_Core!K32:K34)</f>
        <v>17.376666666666665</v>
      </c>
      <c r="P12" s="4">
        <f>SUM(Player_Core!H32:H34)</f>
        <v>44</v>
      </c>
      <c r="Q12" s="9">
        <f>1-P12/SUM(Player_Core!F32:F34)</f>
        <v>0.82113821138211385</v>
      </c>
      <c r="R12" s="10">
        <f>SUM(Player_Core!L32:L34)</f>
        <v>8.423728769099613</v>
      </c>
      <c r="S12" s="4" t="s">
        <v>27</v>
      </c>
      <c r="T12" s="4" t="s">
        <v>96</v>
      </c>
      <c r="U12" s="4" t="s">
        <v>97</v>
      </c>
      <c r="V12" s="4" t="s">
        <v>98</v>
      </c>
      <c r="W12" s="4" t="s">
        <v>99</v>
      </c>
    </row>
  </sheetData>
  <conditionalFormatting sqref="N2:N12">
    <cfRule type="dataBar" priority="1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{E09D5C11-254F-399C-34EC-044AEBE1876C}</x14:id>
        </ext>
      </extLst>
    </cfRule>
  </conditionalFormatting>
  <conditionalFormatting sqref="Q2:Q12">
    <cfRule type="dataBar" priority="2">
      <dataBar>
        <cfvo type="min"/>
        <cfvo type="max"/>
        <color rgb="FF0F9ED5"/>
      </dataBar>
    </cfRule>
    <cfRule type="dataBar" priority="5">
      <dataBar>
        <cfvo type="min"/>
        <cfvo type="max"/>
        <color rgb="FF0F9ED5"/>
      </dataBar>
      <extLst>
        <ext xmlns:x14="http://schemas.microsoft.com/office/spreadsheetml/2009/9/main" uri="{B025F937-C7B1-47D3-B67F-A62EFF666E3E}">
          <x14:id>{AA269B7E-36A9-46C6-2329-491FA7AD7A4F}</x14:id>
        </ext>
      </extLst>
    </cfRule>
  </conditionalFormatting>
  <conditionalFormatting sqref="R2:R12">
    <cfRule type="dataBar" priority="3">
      <dataBar>
        <cfvo type="min"/>
        <cfvo type="max"/>
        <color rgb="FFE97132"/>
      </dataBar>
    </cfRule>
    <cfRule type="dataBar" priority="6">
      <dataBar>
        <cfvo type="min"/>
        <cfvo type="max"/>
        <color rgb="FFE97132"/>
      </dataBar>
      <extLst>
        <ext xmlns:x14="http://schemas.microsoft.com/office/spreadsheetml/2009/9/main" uri="{B025F937-C7B1-47D3-B67F-A62EFF666E3E}">
          <x14:id>{6382BDFA-7AC2-42AE-390D-439614B090E8}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D5C11-254F-399C-34EC-044AEBE1876C}">
            <x14:dataBar>
              <x14:cfvo type="min"/>
              <x14:cfvo type="max"/>
              <x14:negativeFillColor auto="1"/>
              <x14:axisColor auto="1"/>
            </x14:dataBar>
          </x14:cfRule>
          <xm:sqref>N2:N12</xm:sqref>
        </x14:conditionalFormatting>
        <x14:conditionalFormatting xmlns:xm="http://schemas.microsoft.com/office/excel/2006/main">
          <x14:cfRule type="dataBar" id="{AA269B7E-36A9-46C6-2329-491FA7AD7A4F}">
            <x14:dataBar>
              <x14:cfvo type="min"/>
              <x14:cfvo type="max"/>
              <x14:negativeFillColor auto="1"/>
              <x14:axisColor auto="1"/>
            </x14:dataBar>
          </x14:cfRule>
          <xm:sqref>Q2:Q12</xm:sqref>
        </x14:conditionalFormatting>
        <x14:conditionalFormatting xmlns:xm="http://schemas.microsoft.com/office/excel/2006/main">
          <x14:cfRule type="dataBar" id="{6382BDFA-7AC2-42AE-390D-439614B090E8}">
            <x14:dataBar>
              <x14:cfvo type="min"/>
              <x14:cfvo type="max"/>
              <x14:negativeFillColor auto="1"/>
              <x14:axisColor auto="1"/>
            </x14:dataBar>
          </x14:cfRule>
          <xm:sqref>R2:R12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topLeftCell="G1" workbookViewId="0">
      <selection activeCell="O35" sqref="O35"/>
    </sheetView>
  </sheetViews>
  <sheetFormatPr defaultRowHeight="13.5"/>
  <cols>
    <col min="1" max="1" width="10" customWidth="1"/>
    <col min="2" max="2" width="22" customWidth="1"/>
    <col min="3" max="3" width="12" customWidth="1"/>
    <col min="4" max="4" width="22" customWidth="1"/>
    <col min="5" max="5" width="10" customWidth="1"/>
    <col min="6" max="6" width="14" customWidth="1"/>
    <col min="7" max="8" width="13" customWidth="1"/>
    <col min="9" max="9" width="15" customWidth="1"/>
    <col min="10" max="10" width="11" customWidth="1"/>
    <col min="11" max="11" width="12" customWidth="1"/>
    <col min="12" max="12" width="21" customWidth="1"/>
    <col min="13" max="13" width="36" customWidth="1"/>
    <col min="14" max="15" width="48" customWidth="1"/>
  </cols>
  <sheetData>
    <row r="1" spans="1:15" ht="17" customHeight="1">
      <c r="A1" s="1" t="s">
        <v>0</v>
      </c>
      <c r="B1" s="1" t="s">
        <v>1</v>
      </c>
      <c r="C1" s="1" t="s">
        <v>2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22</v>
      </c>
    </row>
    <row r="2" spans="1:15" ht="27">
      <c r="A2" s="6" t="s">
        <v>23</v>
      </c>
      <c r="B2" s="6" t="s">
        <v>24</v>
      </c>
      <c r="C2" s="6" t="s">
        <v>25</v>
      </c>
      <c r="D2" s="4" t="s">
        <v>111</v>
      </c>
      <c r="E2" s="4">
        <v>1</v>
      </c>
      <c r="F2" s="4">
        <v>82</v>
      </c>
      <c r="G2" s="4">
        <v>76</v>
      </c>
      <c r="H2" s="4">
        <f t="shared" ref="H2:H34" si="0">F2-G2</f>
        <v>6</v>
      </c>
      <c r="I2" s="7">
        <v>20.100000000000001</v>
      </c>
      <c r="J2" s="12">
        <f t="shared" ref="J2:J34" si="1">IF(G2=0,0,I2/G2)</f>
        <v>0.26447368421052636</v>
      </c>
      <c r="K2" s="10">
        <v>15</v>
      </c>
      <c r="L2" s="10">
        <f t="shared" ref="L2:L34" si="2">J2*H2</f>
        <v>1.5868421052631581</v>
      </c>
      <c r="M2" s="4" t="s">
        <v>112</v>
      </c>
      <c r="N2" s="16" t="s">
        <v>215</v>
      </c>
      <c r="O2" s="16" t="s">
        <v>224</v>
      </c>
    </row>
    <row r="3" spans="1:15" ht="27">
      <c r="A3" s="6" t="s">
        <v>23</v>
      </c>
      <c r="B3" s="6" t="s">
        <v>24</v>
      </c>
      <c r="C3" s="6" t="s">
        <v>25</v>
      </c>
      <c r="D3" s="4" t="s">
        <v>113</v>
      </c>
      <c r="E3" s="4">
        <v>2</v>
      </c>
      <c r="F3" s="4">
        <v>82</v>
      </c>
      <c r="G3" s="4">
        <v>69</v>
      </c>
      <c r="H3" s="4">
        <f t="shared" si="0"/>
        <v>13</v>
      </c>
      <c r="I3" s="7">
        <v>10</v>
      </c>
      <c r="J3" s="12">
        <f t="shared" si="1"/>
        <v>0.14492753623188406</v>
      </c>
      <c r="K3" s="10">
        <v>9.51</v>
      </c>
      <c r="L3" s="10">
        <f t="shared" si="2"/>
        <v>1.8840579710144929</v>
      </c>
      <c r="M3" s="4" t="s">
        <v>114</v>
      </c>
      <c r="N3" s="16" t="s">
        <v>215</v>
      </c>
      <c r="O3" s="16" t="s">
        <v>224</v>
      </c>
    </row>
    <row r="4" spans="1:15" ht="27">
      <c r="A4" s="6" t="s">
        <v>23</v>
      </c>
      <c r="B4" s="6" t="s">
        <v>24</v>
      </c>
      <c r="C4" s="6" t="s">
        <v>25</v>
      </c>
      <c r="D4" s="4" t="s">
        <v>115</v>
      </c>
      <c r="E4" s="4">
        <v>3</v>
      </c>
      <c r="F4" s="4">
        <v>82</v>
      </c>
      <c r="G4" s="4">
        <v>74</v>
      </c>
      <c r="H4" s="4">
        <f t="shared" si="0"/>
        <v>8</v>
      </c>
      <c r="I4" s="7">
        <v>9.1999999999999993</v>
      </c>
      <c r="J4" s="12">
        <f t="shared" si="1"/>
        <v>0.12432432432432432</v>
      </c>
      <c r="K4" s="10">
        <v>1.36</v>
      </c>
      <c r="L4" s="10">
        <f t="shared" si="2"/>
        <v>0.99459459459459454</v>
      </c>
      <c r="M4" s="4" t="s">
        <v>116</v>
      </c>
      <c r="N4" s="16" t="s">
        <v>215</v>
      </c>
      <c r="O4" s="16" t="s">
        <v>224</v>
      </c>
    </row>
    <row r="5" spans="1:15" ht="27">
      <c r="A5" s="11" t="s">
        <v>32</v>
      </c>
      <c r="B5" s="11" t="s">
        <v>33</v>
      </c>
      <c r="C5" s="11" t="s">
        <v>34</v>
      </c>
      <c r="D5" s="4" t="s">
        <v>117</v>
      </c>
      <c r="E5" s="4">
        <v>1</v>
      </c>
      <c r="F5" s="4">
        <v>82</v>
      </c>
      <c r="G5" s="4">
        <v>74</v>
      </c>
      <c r="H5" s="4">
        <f t="shared" si="0"/>
        <v>8</v>
      </c>
      <c r="I5" s="7">
        <v>7.5</v>
      </c>
      <c r="J5" s="12">
        <f t="shared" si="1"/>
        <v>0.10135135135135136</v>
      </c>
      <c r="K5" s="10">
        <v>-4.2699999999999996</v>
      </c>
      <c r="L5" s="10">
        <f t="shared" si="2"/>
        <v>0.81081081081081086</v>
      </c>
      <c r="M5" s="4" t="s">
        <v>118</v>
      </c>
      <c r="N5" s="16" t="s">
        <v>216</v>
      </c>
      <c r="O5" s="16" t="s">
        <v>225</v>
      </c>
    </row>
    <row r="6" spans="1:15" ht="27">
      <c r="A6" s="11" t="s">
        <v>32</v>
      </c>
      <c r="B6" s="11" t="s">
        <v>33</v>
      </c>
      <c r="C6" s="11" t="s">
        <v>34</v>
      </c>
      <c r="D6" s="4" t="s">
        <v>119</v>
      </c>
      <c r="E6" s="4">
        <v>2</v>
      </c>
      <c r="F6" s="4">
        <v>82</v>
      </c>
      <c r="G6" s="4">
        <v>68</v>
      </c>
      <c r="H6" s="4">
        <f t="shared" si="0"/>
        <v>14</v>
      </c>
      <c r="I6" s="7">
        <v>6.1</v>
      </c>
      <c r="J6" s="12">
        <f t="shared" si="1"/>
        <v>8.9705882352941177E-2</v>
      </c>
      <c r="K6" s="10">
        <v>-2.93</v>
      </c>
      <c r="L6" s="10">
        <f t="shared" si="2"/>
        <v>1.2558823529411764</v>
      </c>
      <c r="M6" s="4" t="s">
        <v>120</v>
      </c>
      <c r="N6" s="16" t="s">
        <v>216</v>
      </c>
      <c r="O6" s="16" t="s">
        <v>225</v>
      </c>
    </row>
    <row r="7" spans="1:15" ht="27">
      <c r="A7" s="11" t="s">
        <v>32</v>
      </c>
      <c r="B7" s="11" t="s">
        <v>33</v>
      </c>
      <c r="C7" s="11" t="s">
        <v>34</v>
      </c>
      <c r="D7" s="4" t="s">
        <v>121</v>
      </c>
      <c r="E7" s="4">
        <v>3</v>
      </c>
      <c r="F7" s="4">
        <v>82</v>
      </c>
      <c r="G7" s="4">
        <v>66</v>
      </c>
      <c r="H7" s="4">
        <f t="shared" si="0"/>
        <v>16</v>
      </c>
      <c r="I7" s="7">
        <v>7.7</v>
      </c>
      <c r="J7" s="12">
        <f t="shared" si="1"/>
        <v>0.11666666666666667</v>
      </c>
      <c r="K7" s="10">
        <v>2.76</v>
      </c>
      <c r="L7" s="10">
        <f t="shared" si="2"/>
        <v>1.8666666666666667</v>
      </c>
      <c r="M7" s="4" t="s">
        <v>122</v>
      </c>
      <c r="N7" s="16" t="s">
        <v>216</v>
      </c>
      <c r="O7" s="16" t="s">
        <v>225</v>
      </c>
    </row>
    <row r="8" spans="1:15" ht="27">
      <c r="A8" s="6" t="s">
        <v>40</v>
      </c>
      <c r="B8" s="6" t="s">
        <v>41</v>
      </c>
      <c r="C8" s="6" t="s">
        <v>25</v>
      </c>
      <c r="D8" s="4" t="s">
        <v>111</v>
      </c>
      <c r="E8" s="4">
        <v>1</v>
      </c>
      <c r="F8" s="4">
        <v>82</v>
      </c>
      <c r="G8" s="4">
        <v>76</v>
      </c>
      <c r="H8" s="4">
        <f t="shared" si="0"/>
        <v>6</v>
      </c>
      <c r="I8" s="7">
        <v>14.1</v>
      </c>
      <c r="J8" s="12">
        <f t="shared" si="1"/>
        <v>0.18552631578947368</v>
      </c>
      <c r="K8" s="10">
        <v>15.81</v>
      </c>
      <c r="L8" s="10">
        <f t="shared" si="2"/>
        <v>1.1131578947368421</v>
      </c>
      <c r="M8" s="4" t="s">
        <v>118</v>
      </c>
      <c r="N8" s="16" t="s">
        <v>217</v>
      </c>
      <c r="O8" s="16" t="s">
        <v>226</v>
      </c>
    </row>
    <row r="9" spans="1:15" ht="27">
      <c r="A9" s="6" t="s">
        <v>40</v>
      </c>
      <c r="B9" s="6" t="s">
        <v>41</v>
      </c>
      <c r="C9" s="6" t="s">
        <v>25</v>
      </c>
      <c r="D9" s="4" t="s">
        <v>123</v>
      </c>
      <c r="E9" s="4">
        <v>2</v>
      </c>
      <c r="F9" s="4">
        <v>82</v>
      </c>
      <c r="G9" s="4">
        <v>53</v>
      </c>
      <c r="H9" s="4">
        <f t="shared" si="0"/>
        <v>29</v>
      </c>
      <c r="I9" s="7">
        <v>5.0999999999999996</v>
      </c>
      <c r="J9" s="12">
        <f t="shared" si="1"/>
        <v>9.6226415094339615E-2</v>
      </c>
      <c r="K9" s="10">
        <v>-0.28999999999999998</v>
      </c>
      <c r="L9" s="10">
        <f t="shared" si="2"/>
        <v>2.7905660377358488</v>
      </c>
      <c r="M9" s="4" t="s">
        <v>124</v>
      </c>
      <c r="N9" s="16" t="s">
        <v>217</v>
      </c>
      <c r="O9" s="16" t="s">
        <v>226</v>
      </c>
    </row>
    <row r="10" spans="1:15" ht="27">
      <c r="A10" s="6" t="s">
        <v>40</v>
      </c>
      <c r="B10" s="6" t="s">
        <v>41</v>
      </c>
      <c r="C10" s="6" t="s">
        <v>25</v>
      </c>
      <c r="D10" s="4" t="s">
        <v>125</v>
      </c>
      <c r="E10" s="4">
        <v>3</v>
      </c>
      <c r="F10" s="4">
        <v>82</v>
      </c>
      <c r="G10" s="4">
        <v>77</v>
      </c>
      <c r="H10" s="4">
        <f t="shared" si="0"/>
        <v>5</v>
      </c>
      <c r="I10" s="7">
        <v>8.6</v>
      </c>
      <c r="J10" s="12">
        <f t="shared" si="1"/>
        <v>0.11168831168831168</v>
      </c>
      <c r="K10" s="10">
        <v>3.88</v>
      </c>
      <c r="L10" s="10">
        <f t="shared" si="2"/>
        <v>0.55844155844155841</v>
      </c>
      <c r="M10" s="4" t="s">
        <v>126</v>
      </c>
      <c r="N10" s="16" t="s">
        <v>217</v>
      </c>
      <c r="O10" s="16" t="s">
        <v>226</v>
      </c>
    </row>
    <row r="11" spans="1:15" ht="27">
      <c r="A11" s="6" t="s">
        <v>47</v>
      </c>
      <c r="B11" s="6" t="s">
        <v>48</v>
      </c>
      <c r="C11" s="6" t="s">
        <v>25</v>
      </c>
      <c r="D11" s="4" t="s">
        <v>127</v>
      </c>
      <c r="E11" s="4">
        <v>1</v>
      </c>
      <c r="F11" s="4">
        <v>82</v>
      </c>
      <c r="G11" s="4">
        <v>79</v>
      </c>
      <c r="H11" s="4">
        <f t="shared" si="0"/>
        <v>3</v>
      </c>
      <c r="I11" s="7">
        <v>13</v>
      </c>
      <c r="J11" s="12">
        <f t="shared" si="1"/>
        <v>0.16455696202531644</v>
      </c>
      <c r="K11" s="10">
        <v>18.32</v>
      </c>
      <c r="L11" s="10">
        <f t="shared" si="2"/>
        <v>0.49367088607594933</v>
      </c>
      <c r="M11" s="4" t="s">
        <v>126</v>
      </c>
      <c r="N11" s="16" t="s">
        <v>218</v>
      </c>
      <c r="O11" s="16" t="s">
        <v>227</v>
      </c>
    </row>
    <row r="12" spans="1:15" ht="27">
      <c r="A12" s="6" t="s">
        <v>47</v>
      </c>
      <c r="B12" s="6" t="s">
        <v>48</v>
      </c>
      <c r="C12" s="6" t="s">
        <v>25</v>
      </c>
      <c r="D12" s="4" t="s">
        <v>128</v>
      </c>
      <c r="E12" s="4">
        <v>2</v>
      </c>
      <c r="F12" s="4">
        <v>82</v>
      </c>
      <c r="G12" s="4">
        <v>62</v>
      </c>
      <c r="H12" s="4">
        <f t="shared" si="0"/>
        <v>20</v>
      </c>
      <c r="I12" s="7">
        <v>12.1</v>
      </c>
      <c r="J12" s="12">
        <f t="shared" si="1"/>
        <v>0.19516129032258064</v>
      </c>
      <c r="K12" s="10">
        <v>8.41</v>
      </c>
      <c r="L12" s="10">
        <f t="shared" si="2"/>
        <v>3.903225806451613</v>
      </c>
      <c r="M12" s="4" t="s">
        <v>129</v>
      </c>
      <c r="N12" s="16" t="s">
        <v>218</v>
      </c>
      <c r="O12" s="16" t="s">
        <v>227</v>
      </c>
    </row>
    <row r="13" spans="1:15" ht="27">
      <c r="A13" s="6" t="s">
        <v>47</v>
      </c>
      <c r="B13" s="6" t="s">
        <v>48</v>
      </c>
      <c r="C13" s="6" t="s">
        <v>25</v>
      </c>
      <c r="D13" s="4" t="s">
        <v>130</v>
      </c>
      <c r="E13" s="4">
        <v>3</v>
      </c>
      <c r="F13" s="4">
        <v>82</v>
      </c>
      <c r="G13" s="4">
        <v>76</v>
      </c>
      <c r="H13" s="4">
        <f t="shared" si="0"/>
        <v>6</v>
      </c>
      <c r="I13" s="7">
        <v>8.6999999999999993</v>
      </c>
      <c r="J13" s="12">
        <f t="shared" si="1"/>
        <v>0.11447368421052631</v>
      </c>
      <c r="K13" s="10">
        <v>11.51</v>
      </c>
      <c r="L13" s="10">
        <f t="shared" si="2"/>
        <v>0.68684210526315792</v>
      </c>
      <c r="M13" s="4" t="s">
        <v>126</v>
      </c>
      <c r="N13" s="16" t="s">
        <v>218</v>
      </c>
      <c r="O13" s="16" t="s">
        <v>227</v>
      </c>
    </row>
    <row r="14" spans="1:15" ht="27">
      <c r="A14" s="6" t="s">
        <v>54</v>
      </c>
      <c r="B14" s="6" t="s">
        <v>48</v>
      </c>
      <c r="C14" s="6" t="s">
        <v>25</v>
      </c>
      <c r="D14" s="4" t="s">
        <v>127</v>
      </c>
      <c r="E14" s="4">
        <v>1</v>
      </c>
      <c r="F14" s="4">
        <v>82</v>
      </c>
      <c r="G14" s="4">
        <v>69</v>
      </c>
      <c r="H14" s="4">
        <f t="shared" si="0"/>
        <v>13</v>
      </c>
      <c r="I14" s="7">
        <v>9.6999999999999993</v>
      </c>
      <c r="J14" s="12">
        <f t="shared" si="1"/>
        <v>0.14057971014492754</v>
      </c>
      <c r="K14" s="10">
        <v>16.38</v>
      </c>
      <c r="L14" s="10">
        <f t="shared" si="2"/>
        <v>1.827536231884058</v>
      </c>
      <c r="M14" s="4" t="s">
        <v>131</v>
      </c>
      <c r="N14" s="16" t="s">
        <v>219</v>
      </c>
      <c r="O14" s="16" t="s">
        <v>228</v>
      </c>
    </row>
    <row r="15" spans="1:15" ht="27">
      <c r="A15" s="6" t="s">
        <v>54</v>
      </c>
      <c r="B15" s="6" t="s">
        <v>48</v>
      </c>
      <c r="C15" s="6" t="s">
        <v>25</v>
      </c>
      <c r="D15" s="4" t="s">
        <v>128</v>
      </c>
      <c r="E15" s="4">
        <v>2</v>
      </c>
      <c r="F15" s="4">
        <v>82</v>
      </c>
      <c r="G15" s="4">
        <v>78</v>
      </c>
      <c r="H15" s="4">
        <f t="shared" si="0"/>
        <v>4</v>
      </c>
      <c r="I15" s="7">
        <v>11.6</v>
      </c>
      <c r="J15" s="12">
        <f t="shared" si="1"/>
        <v>0.14871794871794872</v>
      </c>
      <c r="K15" s="10">
        <v>15.61</v>
      </c>
      <c r="L15" s="10">
        <f t="shared" si="2"/>
        <v>0.59487179487179487</v>
      </c>
      <c r="M15" s="4" t="s">
        <v>126</v>
      </c>
      <c r="N15" s="16" t="s">
        <v>219</v>
      </c>
      <c r="O15" s="16" t="s">
        <v>228</v>
      </c>
    </row>
    <row r="16" spans="1:15" ht="27">
      <c r="A16" s="6" t="s">
        <v>54</v>
      </c>
      <c r="B16" s="6" t="s">
        <v>48</v>
      </c>
      <c r="C16" s="6" t="s">
        <v>25</v>
      </c>
      <c r="D16" s="4" t="s">
        <v>132</v>
      </c>
      <c r="E16" s="4">
        <v>3</v>
      </c>
      <c r="F16" s="4">
        <v>82</v>
      </c>
      <c r="G16" s="4">
        <v>78</v>
      </c>
      <c r="H16" s="4">
        <f t="shared" si="0"/>
        <v>4</v>
      </c>
      <c r="I16" s="7">
        <v>5.0999999999999996</v>
      </c>
      <c r="J16" s="12">
        <f t="shared" si="1"/>
        <v>6.5384615384615374E-2</v>
      </c>
      <c r="K16" s="10">
        <v>-0.04</v>
      </c>
      <c r="L16" s="10">
        <f t="shared" si="2"/>
        <v>0.2615384615384615</v>
      </c>
      <c r="M16" s="4" t="s">
        <v>133</v>
      </c>
      <c r="N16" s="16" t="s">
        <v>219</v>
      </c>
      <c r="O16" s="16" t="s">
        <v>228</v>
      </c>
    </row>
    <row r="17" spans="1:15" ht="27">
      <c r="A17" s="11" t="s">
        <v>54</v>
      </c>
      <c r="B17" s="11" t="s">
        <v>61</v>
      </c>
      <c r="C17" s="11" t="s">
        <v>34</v>
      </c>
      <c r="D17" s="4" t="s">
        <v>121</v>
      </c>
      <c r="E17" s="4">
        <v>1</v>
      </c>
      <c r="F17" s="4">
        <v>82</v>
      </c>
      <c r="G17" s="4">
        <v>60</v>
      </c>
      <c r="H17" s="4">
        <f t="shared" si="0"/>
        <v>22</v>
      </c>
      <c r="I17" s="7">
        <v>9.6</v>
      </c>
      <c r="J17" s="12">
        <f t="shared" si="1"/>
        <v>0.16</v>
      </c>
      <c r="K17" s="10">
        <v>4.67</v>
      </c>
      <c r="L17" s="10">
        <f t="shared" si="2"/>
        <v>3.52</v>
      </c>
      <c r="M17" s="4" t="s">
        <v>134</v>
      </c>
      <c r="N17" s="16" t="s">
        <v>214</v>
      </c>
      <c r="O17" s="16" t="s">
        <v>228</v>
      </c>
    </row>
    <row r="18" spans="1:15" ht="27">
      <c r="A18" s="11" t="s">
        <v>54</v>
      </c>
      <c r="B18" s="11" t="s">
        <v>61</v>
      </c>
      <c r="C18" s="11" t="s">
        <v>34</v>
      </c>
      <c r="D18" s="4" t="s">
        <v>135</v>
      </c>
      <c r="E18" s="4">
        <v>2</v>
      </c>
      <c r="F18" s="4">
        <v>82</v>
      </c>
      <c r="G18" s="4">
        <v>80</v>
      </c>
      <c r="H18" s="4">
        <f t="shared" si="0"/>
        <v>2</v>
      </c>
      <c r="I18" s="7">
        <v>9.5</v>
      </c>
      <c r="J18" s="12">
        <f t="shared" si="1"/>
        <v>0.11874999999999999</v>
      </c>
      <c r="K18" s="10">
        <v>13.62</v>
      </c>
      <c r="L18" s="10">
        <f t="shared" si="2"/>
        <v>0.23749999999999999</v>
      </c>
      <c r="M18" s="4" t="s">
        <v>136</v>
      </c>
      <c r="N18" s="16" t="s">
        <v>214</v>
      </c>
      <c r="O18" s="16" t="s">
        <v>228</v>
      </c>
    </row>
    <row r="19" spans="1:15" ht="27">
      <c r="A19" s="11" t="s">
        <v>54</v>
      </c>
      <c r="B19" s="11" t="s">
        <v>61</v>
      </c>
      <c r="C19" s="11" t="s">
        <v>34</v>
      </c>
      <c r="D19" s="4" t="s">
        <v>137</v>
      </c>
      <c r="E19" s="4">
        <v>3</v>
      </c>
      <c r="F19" s="4">
        <v>82</v>
      </c>
      <c r="G19" s="4">
        <v>65</v>
      </c>
      <c r="H19" s="4">
        <f t="shared" si="0"/>
        <v>17</v>
      </c>
      <c r="I19" s="7">
        <v>7.1</v>
      </c>
      <c r="J19" s="12">
        <f t="shared" si="1"/>
        <v>0.10923076923076923</v>
      </c>
      <c r="K19" s="10">
        <v>11.44</v>
      </c>
      <c r="L19" s="10">
        <f t="shared" si="2"/>
        <v>1.8569230769230769</v>
      </c>
      <c r="M19" s="4" t="s">
        <v>138</v>
      </c>
      <c r="N19" s="16" t="s">
        <v>214</v>
      </c>
      <c r="O19" s="16" t="s">
        <v>228</v>
      </c>
    </row>
    <row r="20" spans="1:15" ht="27">
      <c r="A20" s="6" t="s">
        <v>66</v>
      </c>
      <c r="B20" s="6" t="s">
        <v>67</v>
      </c>
      <c r="C20" s="6" t="s">
        <v>25</v>
      </c>
      <c r="D20" s="4" t="s">
        <v>128</v>
      </c>
      <c r="E20" s="4">
        <v>1</v>
      </c>
      <c r="F20" s="4">
        <v>72</v>
      </c>
      <c r="G20" s="4">
        <v>35</v>
      </c>
      <c r="H20" s="4">
        <f t="shared" si="0"/>
        <v>37</v>
      </c>
      <c r="I20" s="7">
        <v>5.0999999999999996</v>
      </c>
      <c r="J20" s="12">
        <f t="shared" si="1"/>
        <v>0.14571428571428571</v>
      </c>
      <c r="K20" s="10">
        <v>10.93</v>
      </c>
      <c r="L20" s="10">
        <f t="shared" si="2"/>
        <v>5.3914285714285715</v>
      </c>
      <c r="M20" s="4" t="s">
        <v>139</v>
      </c>
      <c r="N20" s="16" t="s">
        <v>213</v>
      </c>
      <c r="O20" s="16" t="s">
        <v>229</v>
      </c>
    </row>
    <row r="21" spans="1:15" ht="27">
      <c r="A21" s="6" t="s">
        <v>66</v>
      </c>
      <c r="B21" s="6" t="s">
        <v>67</v>
      </c>
      <c r="C21" s="6" t="s">
        <v>25</v>
      </c>
      <c r="D21" s="4" t="s">
        <v>140</v>
      </c>
      <c r="E21" s="4">
        <v>2</v>
      </c>
      <c r="F21" s="4">
        <v>59</v>
      </c>
      <c r="G21" s="4">
        <v>36</v>
      </c>
      <c r="H21" s="4">
        <f t="shared" si="0"/>
        <v>23</v>
      </c>
      <c r="I21" s="7">
        <v>6.3</v>
      </c>
      <c r="J21" s="12">
        <f t="shared" si="1"/>
        <v>0.17499999999999999</v>
      </c>
      <c r="K21" s="10">
        <v>0.19</v>
      </c>
      <c r="L21" s="10">
        <f t="shared" si="2"/>
        <v>4.0249999999999995</v>
      </c>
      <c r="M21" s="4" t="s">
        <v>141</v>
      </c>
      <c r="N21" s="16" t="s">
        <v>213</v>
      </c>
      <c r="O21" s="16" t="s">
        <v>229</v>
      </c>
    </row>
    <row r="22" spans="1:15" ht="27">
      <c r="A22" s="6" t="s">
        <v>66</v>
      </c>
      <c r="B22" s="6" t="s">
        <v>67</v>
      </c>
      <c r="C22" s="6" t="s">
        <v>25</v>
      </c>
      <c r="D22" s="4" t="s">
        <v>123</v>
      </c>
      <c r="E22" s="4">
        <v>3</v>
      </c>
      <c r="F22" s="4">
        <v>72</v>
      </c>
      <c r="G22" s="4">
        <v>54</v>
      </c>
      <c r="H22" s="4">
        <f t="shared" si="0"/>
        <v>18</v>
      </c>
      <c r="I22" s="7">
        <v>7.6</v>
      </c>
      <c r="J22" s="12">
        <f t="shared" si="1"/>
        <v>0.14074074074074072</v>
      </c>
      <c r="K22" s="10">
        <v>2.2000000000000002</v>
      </c>
      <c r="L22" s="10">
        <f t="shared" si="2"/>
        <v>2.5333333333333332</v>
      </c>
      <c r="M22" s="4" t="s">
        <v>142</v>
      </c>
      <c r="N22" s="16" t="s">
        <v>213</v>
      </c>
      <c r="O22" s="16" t="s">
        <v>229</v>
      </c>
    </row>
    <row r="23" spans="1:15" ht="27">
      <c r="A23" s="11" t="s">
        <v>66</v>
      </c>
      <c r="B23" s="11" t="s">
        <v>74</v>
      </c>
      <c r="C23" s="11" t="s">
        <v>34</v>
      </c>
      <c r="D23" s="4" t="s">
        <v>143</v>
      </c>
      <c r="E23" s="4">
        <v>1</v>
      </c>
      <c r="F23" s="4">
        <v>72</v>
      </c>
      <c r="G23" s="4">
        <v>61</v>
      </c>
      <c r="H23" s="4">
        <f t="shared" si="0"/>
        <v>11</v>
      </c>
      <c r="I23" s="7">
        <v>10.5</v>
      </c>
      <c r="J23" s="12">
        <f t="shared" si="1"/>
        <v>0.1721311475409836</v>
      </c>
      <c r="K23" s="10">
        <v>6.18</v>
      </c>
      <c r="L23" s="10">
        <f t="shared" si="2"/>
        <v>1.8934426229508197</v>
      </c>
      <c r="M23" s="4" t="s">
        <v>144</v>
      </c>
      <c r="N23" s="16" t="s">
        <v>220</v>
      </c>
      <c r="O23" s="16" t="s">
        <v>230</v>
      </c>
    </row>
    <row r="24" spans="1:15" ht="27">
      <c r="A24" s="11" t="s">
        <v>66</v>
      </c>
      <c r="B24" s="11" t="s">
        <v>74</v>
      </c>
      <c r="C24" s="11" t="s">
        <v>34</v>
      </c>
      <c r="D24" s="4" t="s">
        <v>145</v>
      </c>
      <c r="E24" s="4">
        <v>2</v>
      </c>
      <c r="F24" s="4">
        <v>72</v>
      </c>
      <c r="G24" s="4">
        <v>59</v>
      </c>
      <c r="H24" s="4">
        <f t="shared" si="0"/>
        <v>13</v>
      </c>
      <c r="I24" s="7">
        <v>6.9</v>
      </c>
      <c r="J24" s="12">
        <f t="shared" si="1"/>
        <v>0.11694915254237288</v>
      </c>
      <c r="K24" s="10">
        <v>7.52</v>
      </c>
      <c r="L24" s="10">
        <f t="shared" si="2"/>
        <v>1.5203389830508476</v>
      </c>
      <c r="M24" s="4" t="s">
        <v>146</v>
      </c>
      <c r="N24" s="16" t="s">
        <v>220</v>
      </c>
      <c r="O24" s="16" t="s">
        <v>230</v>
      </c>
    </row>
    <row r="25" spans="1:15" ht="27">
      <c r="A25" s="11" t="s">
        <v>66</v>
      </c>
      <c r="B25" s="11" t="s">
        <v>74</v>
      </c>
      <c r="C25" s="11" t="s">
        <v>34</v>
      </c>
      <c r="D25" s="4" t="s">
        <v>147</v>
      </c>
      <c r="E25" s="4">
        <v>3</v>
      </c>
      <c r="F25" s="4">
        <v>72</v>
      </c>
      <c r="G25" s="4">
        <v>68</v>
      </c>
      <c r="H25" s="4">
        <f t="shared" si="0"/>
        <v>4</v>
      </c>
      <c r="I25" s="7">
        <v>6.7</v>
      </c>
      <c r="J25" s="12">
        <f t="shared" si="1"/>
        <v>9.8529411764705879E-2</v>
      </c>
      <c r="K25" s="10">
        <v>-0.87</v>
      </c>
      <c r="L25" s="10">
        <f t="shared" si="2"/>
        <v>0.39411764705882352</v>
      </c>
      <c r="M25" s="4" t="s">
        <v>148</v>
      </c>
      <c r="N25" s="16" t="s">
        <v>220</v>
      </c>
      <c r="O25" s="16" t="s">
        <v>230</v>
      </c>
    </row>
    <row r="26" spans="1:15" ht="27">
      <c r="A26" s="6" t="s">
        <v>80</v>
      </c>
      <c r="B26" s="6" t="s">
        <v>81</v>
      </c>
      <c r="C26" s="6" t="s">
        <v>25</v>
      </c>
      <c r="D26" s="4" t="s">
        <v>111</v>
      </c>
      <c r="E26" s="4">
        <v>1</v>
      </c>
      <c r="F26" s="4">
        <v>82</v>
      </c>
      <c r="G26" s="4">
        <v>56</v>
      </c>
      <c r="H26" s="4">
        <f t="shared" si="0"/>
        <v>26</v>
      </c>
      <c r="I26" s="7">
        <v>7.7</v>
      </c>
      <c r="J26" s="12">
        <f t="shared" si="1"/>
        <v>0.13750000000000001</v>
      </c>
      <c r="K26" s="10">
        <v>1.61</v>
      </c>
      <c r="L26" s="10">
        <f t="shared" si="2"/>
        <v>3.5750000000000002</v>
      </c>
      <c r="M26" s="4" t="s">
        <v>149</v>
      </c>
      <c r="N26" s="16" t="s">
        <v>221</v>
      </c>
      <c r="O26" s="16" t="s">
        <v>231</v>
      </c>
    </row>
    <row r="27" spans="1:15" ht="27">
      <c r="A27" s="6" t="s">
        <v>80</v>
      </c>
      <c r="B27" s="6" t="s">
        <v>81</v>
      </c>
      <c r="C27" s="6" t="s">
        <v>25</v>
      </c>
      <c r="D27" s="4" t="s">
        <v>150</v>
      </c>
      <c r="E27" s="4">
        <v>2</v>
      </c>
      <c r="F27" s="4">
        <v>82</v>
      </c>
      <c r="G27" s="4">
        <v>40</v>
      </c>
      <c r="H27" s="4">
        <f t="shared" si="0"/>
        <v>42</v>
      </c>
      <c r="I27" s="7">
        <v>4.5999999999999996</v>
      </c>
      <c r="J27" s="12">
        <f t="shared" si="1"/>
        <v>0.11499999999999999</v>
      </c>
      <c r="K27" s="10">
        <v>-0.56999999999999995</v>
      </c>
      <c r="L27" s="10">
        <f t="shared" si="2"/>
        <v>4.83</v>
      </c>
      <c r="M27" s="4" t="s">
        <v>151</v>
      </c>
      <c r="N27" s="16" t="s">
        <v>221</v>
      </c>
      <c r="O27" s="16" t="s">
        <v>231</v>
      </c>
    </row>
    <row r="28" spans="1:15" ht="27">
      <c r="A28" s="6" t="s">
        <v>80</v>
      </c>
      <c r="B28" s="6" t="s">
        <v>81</v>
      </c>
      <c r="C28" s="6" t="s">
        <v>25</v>
      </c>
      <c r="D28" s="4" t="s">
        <v>152</v>
      </c>
      <c r="E28" s="4">
        <v>3</v>
      </c>
      <c r="F28" s="4">
        <v>82</v>
      </c>
      <c r="G28" s="4">
        <v>78</v>
      </c>
      <c r="H28" s="4">
        <f t="shared" si="0"/>
        <v>4</v>
      </c>
      <c r="I28" s="7">
        <v>2.1</v>
      </c>
      <c r="J28" s="12">
        <f t="shared" si="1"/>
        <v>2.6923076923076925E-2</v>
      </c>
      <c r="K28" s="10">
        <v>-1.79</v>
      </c>
      <c r="L28" s="10">
        <f t="shared" si="2"/>
        <v>0.1076923076923077</v>
      </c>
      <c r="M28" s="4" t="s">
        <v>153</v>
      </c>
      <c r="N28" s="16" t="s">
        <v>221</v>
      </c>
      <c r="O28" s="16" t="s">
        <v>231</v>
      </c>
    </row>
    <row r="29" spans="1:15" ht="27">
      <c r="A29" s="11" t="s">
        <v>80</v>
      </c>
      <c r="B29" s="11" t="s">
        <v>88</v>
      </c>
      <c r="C29" s="11" t="s">
        <v>34</v>
      </c>
      <c r="D29" s="4" t="s">
        <v>154</v>
      </c>
      <c r="E29" s="4">
        <v>1</v>
      </c>
      <c r="F29" s="4">
        <v>82</v>
      </c>
      <c r="G29" s="4">
        <v>76</v>
      </c>
      <c r="H29" s="4">
        <f t="shared" si="0"/>
        <v>6</v>
      </c>
      <c r="I29" s="7">
        <v>9.9</v>
      </c>
      <c r="J29" s="12">
        <f t="shared" si="1"/>
        <v>0.13026315789473686</v>
      </c>
      <c r="K29" s="10">
        <v>14.8</v>
      </c>
      <c r="L29" s="10">
        <f t="shared" si="2"/>
        <v>0.78157894736842115</v>
      </c>
      <c r="M29" s="4" t="s">
        <v>155</v>
      </c>
      <c r="N29" s="16" t="s">
        <v>222</v>
      </c>
      <c r="O29" s="16" t="s">
        <v>231</v>
      </c>
    </row>
    <row r="30" spans="1:15" ht="27">
      <c r="A30" s="11" t="s">
        <v>80</v>
      </c>
      <c r="B30" s="11" t="s">
        <v>88</v>
      </c>
      <c r="C30" s="11" t="s">
        <v>34</v>
      </c>
      <c r="D30" s="4" t="s">
        <v>156</v>
      </c>
      <c r="E30" s="4">
        <v>2</v>
      </c>
      <c r="F30" s="4">
        <v>82</v>
      </c>
      <c r="G30" s="4">
        <v>66</v>
      </c>
      <c r="H30" s="4">
        <f t="shared" si="0"/>
        <v>16</v>
      </c>
      <c r="I30" s="7">
        <v>5.9</v>
      </c>
      <c r="J30" s="12">
        <f t="shared" si="1"/>
        <v>8.9393939393939401E-2</v>
      </c>
      <c r="K30" s="10">
        <v>4.95</v>
      </c>
      <c r="L30" s="10">
        <f t="shared" si="2"/>
        <v>1.4303030303030304</v>
      </c>
      <c r="M30" s="4" t="s">
        <v>157</v>
      </c>
      <c r="N30" s="16" t="s">
        <v>222</v>
      </c>
      <c r="O30" s="16" t="s">
        <v>231</v>
      </c>
    </row>
    <row r="31" spans="1:15" ht="27">
      <c r="A31" s="11" t="s">
        <v>80</v>
      </c>
      <c r="B31" s="11" t="s">
        <v>88</v>
      </c>
      <c r="C31" s="11" t="s">
        <v>34</v>
      </c>
      <c r="D31" s="4" t="s">
        <v>158</v>
      </c>
      <c r="E31" s="4">
        <v>3</v>
      </c>
      <c r="F31" s="4">
        <v>82</v>
      </c>
      <c r="G31" s="4">
        <v>71</v>
      </c>
      <c r="H31" s="4">
        <f t="shared" si="0"/>
        <v>11</v>
      </c>
      <c r="I31" s="7">
        <v>5.9</v>
      </c>
      <c r="J31" s="12">
        <f t="shared" si="1"/>
        <v>8.3098591549295775E-2</v>
      </c>
      <c r="K31" s="10">
        <v>5.0999999999999996</v>
      </c>
      <c r="L31" s="10">
        <f t="shared" si="2"/>
        <v>0.91408450704225352</v>
      </c>
      <c r="M31" s="4" t="s">
        <v>159</v>
      </c>
      <c r="N31" s="16" t="s">
        <v>222</v>
      </c>
      <c r="O31" s="16" t="s">
        <v>231</v>
      </c>
    </row>
    <row r="32" spans="1:15" ht="27">
      <c r="A32" s="11" t="s">
        <v>93</v>
      </c>
      <c r="B32" s="11" t="s">
        <v>94</v>
      </c>
      <c r="C32" s="11" t="s">
        <v>34</v>
      </c>
      <c r="D32" s="4" t="s">
        <v>160</v>
      </c>
      <c r="E32" s="4">
        <v>1</v>
      </c>
      <c r="F32" s="4">
        <v>82</v>
      </c>
      <c r="G32" s="4">
        <v>69</v>
      </c>
      <c r="H32" s="4">
        <f t="shared" si="0"/>
        <v>13</v>
      </c>
      <c r="I32" s="7">
        <v>22.4</v>
      </c>
      <c r="J32" s="12">
        <f t="shared" si="1"/>
        <v>0.32463768115942027</v>
      </c>
      <c r="K32" s="10">
        <v>23.96</v>
      </c>
      <c r="L32" s="10">
        <f t="shared" si="2"/>
        <v>4.2202898550724637</v>
      </c>
      <c r="M32" s="4" t="s">
        <v>161</v>
      </c>
      <c r="N32" s="16" t="s">
        <v>223</v>
      </c>
      <c r="O32" s="16" t="s">
        <v>232</v>
      </c>
    </row>
    <row r="33" spans="1:15" ht="27">
      <c r="A33" s="11" t="s">
        <v>93</v>
      </c>
      <c r="B33" s="11" t="s">
        <v>94</v>
      </c>
      <c r="C33" s="11" t="s">
        <v>34</v>
      </c>
      <c r="D33" s="4" t="s">
        <v>162</v>
      </c>
      <c r="E33" s="4">
        <v>2</v>
      </c>
      <c r="F33" s="4">
        <v>82</v>
      </c>
      <c r="G33" s="4">
        <v>65</v>
      </c>
      <c r="H33" s="4">
        <f t="shared" si="0"/>
        <v>17</v>
      </c>
      <c r="I33" s="7">
        <v>8.1999999999999993</v>
      </c>
      <c r="J33" s="12">
        <f t="shared" si="1"/>
        <v>0.12615384615384614</v>
      </c>
      <c r="K33" s="10">
        <v>8.48</v>
      </c>
      <c r="L33" s="10">
        <f t="shared" si="2"/>
        <v>2.1446153846153844</v>
      </c>
      <c r="M33" s="4" t="s">
        <v>163</v>
      </c>
      <c r="N33" s="16" t="s">
        <v>223</v>
      </c>
      <c r="O33" s="16" t="s">
        <v>232</v>
      </c>
    </row>
    <row r="34" spans="1:15" ht="27">
      <c r="A34" s="11" t="s">
        <v>93</v>
      </c>
      <c r="B34" s="11" t="s">
        <v>94</v>
      </c>
      <c r="C34" s="11" t="s">
        <v>34</v>
      </c>
      <c r="D34" s="4" t="s">
        <v>164</v>
      </c>
      <c r="E34" s="4">
        <v>3</v>
      </c>
      <c r="F34" s="4">
        <v>82</v>
      </c>
      <c r="G34" s="4">
        <v>68</v>
      </c>
      <c r="H34" s="4">
        <f t="shared" si="0"/>
        <v>14</v>
      </c>
      <c r="I34" s="7">
        <v>10</v>
      </c>
      <c r="J34" s="12">
        <f t="shared" si="1"/>
        <v>0.14705882352941177</v>
      </c>
      <c r="K34" s="10">
        <v>19.690000000000001</v>
      </c>
      <c r="L34" s="10">
        <f t="shared" si="2"/>
        <v>2.0588235294117649</v>
      </c>
      <c r="M34" s="4" t="s">
        <v>165</v>
      </c>
      <c r="N34" s="16" t="s">
        <v>223</v>
      </c>
      <c r="O34" s="16" t="s">
        <v>232</v>
      </c>
    </row>
  </sheetData>
  <hyperlinks>
    <hyperlink ref="N21" r:id="rId1" xr:uid="{C0853AA1-4F2F-48B1-94F5-A9DE20CF2FC6}"/>
    <hyperlink ref="N20" r:id="rId2" xr:uid="{9813E455-46E9-4E36-B7FB-CE125761CF17}"/>
    <hyperlink ref="N19" r:id="rId3" xr:uid="{0509EAE6-30B4-4005-BD6D-71C28E9EEBA5}"/>
    <hyperlink ref="N2" r:id="rId4" xr:uid="{DBFA3B4F-57B6-4086-8069-CA0492E3FDB6}"/>
    <hyperlink ref="N3" r:id="rId5" xr:uid="{D99DCB7C-0374-443D-8875-60B87ED35402}"/>
    <hyperlink ref="N4" r:id="rId6" xr:uid="{8478FF1C-B1D6-4EEF-9E95-802E7910A5AA}"/>
    <hyperlink ref="N5" r:id="rId7" xr:uid="{9AE33332-5D8F-456D-97D5-65B225986816}"/>
    <hyperlink ref="N6" r:id="rId8" xr:uid="{A28A172D-1524-4A27-A50B-5515EA92AA79}"/>
    <hyperlink ref="N7" r:id="rId9" xr:uid="{3D02825A-B07C-4C36-8D6C-858161A69A8A}"/>
    <hyperlink ref="N8" r:id="rId10" xr:uid="{6163DF4F-ABF5-4DA8-AC90-1A5424CBEFF6}"/>
    <hyperlink ref="N9" r:id="rId11" xr:uid="{AD55EC77-FFA4-406D-8F0D-50A248FB45AE}"/>
    <hyperlink ref="N10" r:id="rId12" xr:uid="{ADEC242A-E605-41DD-8193-C895DF43C61F}"/>
    <hyperlink ref="N11" r:id="rId13" xr:uid="{FB073FDA-84B7-46AD-AAD5-9173D4E2B567}"/>
    <hyperlink ref="N12" r:id="rId14" xr:uid="{25DD6858-9A30-4469-A1B4-DE3A85DF4F59}"/>
    <hyperlink ref="N13" r:id="rId15" xr:uid="{C2C3BB81-59E2-4DE6-AFD8-D83AAAF4E910}"/>
    <hyperlink ref="N14" r:id="rId16" xr:uid="{49C263B5-F37B-4EA3-9F8D-1A494DFE9F52}"/>
    <hyperlink ref="N15" r:id="rId17" xr:uid="{6AE7C7BB-FCC5-40A3-9731-EEFCE84D5D7B}"/>
    <hyperlink ref="N16" r:id="rId18" xr:uid="{26DF0C19-CFCB-48A9-BF2A-586E9F044031}"/>
    <hyperlink ref="N17" r:id="rId19" xr:uid="{6A86E30B-C844-4403-9371-D9742AB542D0}"/>
    <hyperlink ref="N18" r:id="rId20" xr:uid="{907EE0AF-9FE2-4C5A-B622-53297BE1E591}"/>
    <hyperlink ref="N22" r:id="rId21" xr:uid="{1D42E7B6-F20B-4D57-B69B-BCDAB96708D4}"/>
    <hyperlink ref="N23" r:id="rId22" xr:uid="{99FC5A29-D638-4370-B4D2-8871E755D2BB}"/>
    <hyperlink ref="N24" r:id="rId23" xr:uid="{D893F339-BDDA-4E07-868E-C3B02B3B44D9}"/>
    <hyperlink ref="N25" r:id="rId24" xr:uid="{3A7DAAB3-DB77-4CA6-997F-CCE16017CAC9}"/>
    <hyperlink ref="N26" r:id="rId25" xr:uid="{1E4B1E94-1F38-4409-B95B-C47D2AFD82C8}"/>
    <hyperlink ref="N27" r:id="rId26" xr:uid="{5D84DC12-4679-4B0E-A0E0-7F9CB35716CD}"/>
    <hyperlink ref="N28" r:id="rId27" xr:uid="{30B19956-C129-4398-9995-2746BD97FD70}"/>
    <hyperlink ref="N29" r:id="rId28" xr:uid="{56607671-8F56-488D-87F4-8A21BA42F92E}"/>
    <hyperlink ref="N30" r:id="rId29" xr:uid="{BD6CE50C-E85F-4295-A36D-FE542178D0BE}"/>
    <hyperlink ref="N31" r:id="rId30" xr:uid="{492FD611-53B6-446B-8E56-B587AD9FBC6F}"/>
    <hyperlink ref="N32" r:id="rId31" xr:uid="{0F6B4130-7F74-4A5B-A033-51E147E1650D}"/>
    <hyperlink ref="N33" r:id="rId32" xr:uid="{236FB7EF-5929-43A8-859F-DCA1574CD5BE}"/>
    <hyperlink ref="N34" r:id="rId33" xr:uid="{2954CF0D-1902-42F7-AA94-C69996782479}"/>
    <hyperlink ref="O2" r:id="rId34" xr:uid="{6937ADA0-7B81-4C63-99E4-A5BD0D035CD3}"/>
    <hyperlink ref="O3" r:id="rId35" xr:uid="{9CE5E7A1-12E8-44C0-AA18-19C168D109C5}"/>
    <hyperlink ref="O4" r:id="rId36" xr:uid="{DC1AAB54-F84C-40F6-A8F9-8D1A7DDAEEC7}"/>
    <hyperlink ref="O5" r:id="rId37" xr:uid="{DAD433A9-1B62-4E08-9028-D6A87915BDBF}"/>
    <hyperlink ref="O6" r:id="rId38" xr:uid="{D91795CC-1E05-4584-BFFD-AC36D4D841E2}"/>
    <hyperlink ref="O7" r:id="rId39" xr:uid="{8E4E494E-502A-4D92-8767-FA2D96842994}"/>
    <hyperlink ref="O8" r:id="rId40" xr:uid="{EC4619F1-3484-4ABB-BCE2-11FC76048C0C}"/>
    <hyperlink ref="O9" r:id="rId41" xr:uid="{38034069-BDB1-4A58-82D3-62D398439E5B}"/>
    <hyperlink ref="O10" r:id="rId42" xr:uid="{0E666806-45D5-4936-9BFC-D17B8CCCB65B}"/>
    <hyperlink ref="O11" r:id="rId43" xr:uid="{0DE0059F-2DB4-4B18-ABD1-B5921D84FC5B}"/>
    <hyperlink ref="O12" r:id="rId44" xr:uid="{15688385-F16A-46B0-B76A-3FF41767E577}"/>
    <hyperlink ref="O13" r:id="rId45" xr:uid="{F800B01B-70FE-481D-A8D1-4FA29B232657}"/>
    <hyperlink ref="O14" r:id="rId46" xr:uid="{11B04715-7CE0-4079-8E94-9E4E34DFFE01}"/>
    <hyperlink ref="O15" r:id="rId47" xr:uid="{1883E92F-9E59-4951-B9BD-AFB0F680B868}"/>
    <hyperlink ref="O16" r:id="rId48" xr:uid="{8FB58B86-4E64-4555-A7E7-F29454AAA20C}"/>
    <hyperlink ref="O17" r:id="rId49" xr:uid="{5A69063A-C23D-4563-9328-2C8F0E441AEB}"/>
    <hyperlink ref="O18" r:id="rId50" xr:uid="{F08B27F9-E5AE-4E5B-BC3A-96A5FED06E8D}"/>
    <hyperlink ref="O19" r:id="rId51" xr:uid="{56DEB0C0-9B5F-498D-9270-68CE27F40C91}"/>
    <hyperlink ref="O20" r:id="rId52" xr:uid="{E73E0BD3-C6E7-4C5E-BA91-53773A9125C5}"/>
    <hyperlink ref="O21" r:id="rId53" xr:uid="{36BA890A-5C2D-4E30-9B5F-4FD077F5CC16}"/>
    <hyperlink ref="O22" r:id="rId54" xr:uid="{D980673A-8E1D-42AD-B430-86CF4A5AF54F}"/>
    <hyperlink ref="O23" r:id="rId55" xr:uid="{507B6502-DE0F-447C-8E35-A74F9AEE0093}"/>
    <hyperlink ref="O24" r:id="rId56" xr:uid="{80A15C79-C006-4752-AFAE-E94316B14DAD}"/>
    <hyperlink ref="O25" r:id="rId57" xr:uid="{F0F9BE23-2939-4E87-AD63-C89B64B11FF6}"/>
    <hyperlink ref="O26" r:id="rId58" xr:uid="{2D2E979F-760C-4911-A3CD-8F427C1C5BB6}"/>
    <hyperlink ref="O27" r:id="rId59" xr:uid="{9D6B580A-C4E4-4AC6-ADF2-11943939CB09}"/>
    <hyperlink ref="O28" r:id="rId60" xr:uid="{6B90F34E-3841-40AE-A0DB-ED3BEAD8726D}"/>
    <hyperlink ref="O29" r:id="rId61" xr:uid="{4F54C105-4CD5-4F45-AE26-79FD5B1DDA6B}"/>
    <hyperlink ref="O30" r:id="rId62" xr:uid="{E09F9CC6-4542-495F-B6E8-C8E20FB2BAA6}"/>
    <hyperlink ref="O31" r:id="rId63" xr:uid="{CAE7A7AE-EBA0-4EBA-917C-77AACC901E65}"/>
    <hyperlink ref="O32" r:id="rId64" xr:uid="{B899841C-EB31-48A5-A1B6-9438091032FD}"/>
    <hyperlink ref="O33" r:id="rId65" xr:uid="{FED54487-65F2-42C6-A656-A2C647273B8F}"/>
    <hyperlink ref="O34" r:id="rId66" xr:uid="{1824E86C-1FF1-456C-BCC0-5608F07CB9A7}"/>
  </hyperlinks>
  <pageMargins left="0.7" right="0.7" top="0.75" bottom="0.75" header="0.3" footer="0.3"/>
  <tableParts count="1">
    <tablePart r:id="rId6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B3" sqref="B3"/>
    </sheetView>
  </sheetViews>
  <sheetFormatPr defaultRowHeight="13.5"/>
  <cols>
    <col min="1" max="1" width="25" customWidth="1"/>
    <col min="2" max="2" width="95" customWidth="1"/>
  </cols>
  <sheetData>
    <row r="1" spans="1:2" ht="16.05" customHeight="1">
      <c r="A1" s="2" t="s">
        <v>166</v>
      </c>
      <c r="B1" s="2"/>
    </row>
    <row r="3" spans="1:2" ht="27">
      <c r="A3" s="3" t="s">
        <v>167</v>
      </c>
      <c r="B3" s="5" t="s">
        <v>212</v>
      </c>
    </row>
    <row r="4" spans="1:2" ht="27">
      <c r="A4" s="3" t="s">
        <v>168</v>
      </c>
      <c r="B4" s="5" t="s">
        <v>169</v>
      </c>
    </row>
    <row r="5" spans="1:2" ht="27">
      <c r="A5" s="3" t="s">
        <v>170</v>
      </c>
      <c r="B5" s="5" t="s">
        <v>171</v>
      </c>
    </row>
    <row r="6" spans="1:2" ht="27">
      <c r="A6" s="3" t="s">
        <v>172</v>
      </c>
      <c r="B6" s="5" t="s">
        <v>173</v>
      </c>
    </row>
    <row r="7" spans="1:2" ht="27">
      <c r="A7" s="3" t="s">
        <v>174</v>
      </c>
      <c r="B7" s="5" t="s">
        <v>175</v>
      </c>
    </row>
    <row r="8" spans="1:2" ht="27">
      <c r="A8" s="3" t="s">
        <v>13</v>
      </c>
      <c r="B8" s="5" t="s">
        <v>176</v>
      </c>
    </row>
    <row r="9" spans="1:2" ht="27">
      <c r="A9" s="3" t="s">
        <v>107</v>
      </c>
      <c r="B9" s="5" t="s">
        <v>177</v>
      </c>
    </row>
    <row r="10" spans="1:2" ht="27">
      <c r="A10" s="3" t="s">
        <v>15</v>
      </c>
      <c r="B10" s="5" t="s">
        <v>178</v>
      </c>
    </row>
    <row r="11" spans="1:2" ht="13.9">
      <c r="A11" s="3" t="s">
        <v>16</v>
      </c>
      <c r="B11" s="5" t="s">
        <v>179</v>
      </c>
    </row>
    <row r="12" spans="1:2" ht="27">
      <c r="A12" s="3" t="s">
        <v>17</v>
      </c>
      <c r="B12" s="5" t="s">
        <v>180</v>
      </c>
    </row>
    <row r="13" spans="1:2" ht="27">
      <c r="A13" s="3" t="s">
        <v>109</v>
      </c>
      <c r="B13" s="5" t="s">
        <v>181</v>
      </c>
    </row>
    <row r="14" spans="1:2" ht="27">
      <c r="A14" s="3" t="s">
        <v>182</v>
      </c>
      <c r="B14" s="5" t="s">
        <v>183</v>
      </c>
    </row>
    <row r="15" spans="1:2" ht="13.9">
      <c r="A15" s="3" t="s">
        <v>184</v>
      </c>
      <c r="B15" s="5" t="s">
        <v>185</v>
      </c>
    </row>
    <row r="16" spans="1:2" ht="27">
      <c r="A16" s="3" t="s">
        <v>186</v>
      </c>
      <c r="B16" s="5" t="s">
        <v>187</v>
      </c>
    </row>
    <row r="17" spans="1:2" ht="27">
      <c r="A17" s="3" t="s">
        <v>188</v>
      </c>
      <c r="B17" s="5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abSelected="1" zoomScale="52" workbookViewId="0">
      <selection activeCell="T17" sqref="T17"/>
    </sheetView>
  </sheetViews>
  <sheetFormatPr defaultRowHeight="13.5"/>
  <cols>
    <col min="1" max="1" width="34" customWidth="1"/>
    <col min="2" max="2" width="16" customWidth="1"/>
    <col min="3" max="3" width="18" customWidth="1"/>
    <col min="4" max="4" width="34" customWidth="1"/>
    <col min="5" max="5" width="16" customWidth="1"/>
    <col min="6" max="6" width="14" customWidth="1"/>
    <col min="7" max="7" width="22" customWidth="1"/>
    <col min="8" max="8" width="26.5625" customWidth="1"/>
  </cols>
  <sheetData>
    <row r="1" spans="1:8" ht="16.05" customHeight="1">
      <c r="A1" s="14" t="s">
        <v>190</v>
      </c>
      <c r="B1" s="14"/>
      <c r="C1" s="14"/>
      <c r="D1" s="14"/>
      <c r="E1" s="14"/>
      <c r="F1" s="14"/>
      <c r="G1" s="14"/>
      <c r="H1" s="14"/>
    </row>
    <row r="2" spans="1:8">
      <c r="A2" s="4"/>
      <c r="B2" s="4"/>
      <c r="C2" s="4"/>
      <c r="D2" s="4"/>
      <c r="E2" s="4"/>
      <c r="F2" s="4"/>
      <c r="G2" s="4"/>
      <c r="H2" s="4"/>
    </row>
    <row r="3" spans="1:8" ht="23.25" customHeight="1">
      <c r="A3" s="13" t="s">
        <v>191</v>
      </c>
      <c r="B3" s="13" t="s">
        <v>192</v>
      </c>
      <c r="C3" s="4"/>
      <c r="D3" s="13" t="s">
        <v>191</v>
      </c>
      <c r="E3" s="13" t="s">
        <v>34</v>
      </c>
      <c r="F3" s="4"/>
      <c r="G3" s="13" t="s">
        <v>233</v>
      </c>
      <c r="H3" s="13" t="s">
        <v>234</v>
      </c>
    </row>
    <row r="4" spans="1:8">
      <c r="A4" s="4" t="s">
        <v>193</v>
      </c>
      <c r="B4" s="9">
        <f>AVERAGE(Team_Season!K2,Team_Season!K4,Team_Season!K5,Team_Season!K6,Team_Season!K8,Team_Season!K10)</f>
        <v>0.35032942095000225</v>
      </c>
      <c r="C4" s="4"/>
      <c r="D4" s="4" t="s">
        <v>193</v>
      </c>
      <c r="E4" s="9">
        <f>AVERAGE(Team_Season!K3,Team_Season!K7,Team_Season!K9,Team_Season!K11,Team_Season!K12)</f>
        <v>7.1814620980217903E-2</v>
      </c>
      <c r="F4" s="4"/>
      <c r="G4" s="4" t="s">
        <v>34</v>
      </c>
      <c r="H4" s="17">
        <f>AVERAGE(Team_Season!K3,Team_Season!K7,Team_Season!K9,Team_Season!K11,Team_Season!K12)</f>
        <v>7.1814620980217903E-2</v>
      </c>
    </row>
    <row r="5" spans="1:8">
      <c r="A5" s="4" t="s">
        <v>194</v>
      </c>
      <c r="B5" s="10">
        <f>AVERAGE(Team_Season!I2,Team_Season!I4,Team_Season!I5,Team_Season!I6,Team_Season!I8,Team_Season!I10)</f>
        <v>5.75</v>
      </c>
      <c r="C5" s="4"/>
      <c r="D5" s="4" t="s">
        <v>194</v>
      </c>
      <c r="E5" s="10">
        <f>AVERAGE(Team_Season!I3,Team_Season!I7,Team_Season!I9,Team_Season!I11,Team_Season!I12)</f>
        <v>6.14</v>
      </c>
      <c r="F5" s="4"/>
      <c r="G5" s="4" t="s">
        <v>25</v>
      </c>
      <c r="H5" s="17">
        <f>AVERAGE(Team_Season!K2,Team_Season!K4,Team_Season!K5,Team_Season!K6,Team_Season!K8,Team_Season!K10)</f>
        <v>0.35032942095000225</v>
      </c>
    </row>
    <row r="6" spans="1:8">
      <c r="A6" s="4" t="s">
        <v>195</v>
      </c>
      <c r="B6" s="9">
        <f>AVERAGE(Team_Season!N2,Team_Season!N4,Team_Season!N5,Team_Season!N6,Team_Season!N8,Team_Season!N10)</f>
        <v>0.48050105334571169</v>
      </c>
      <c r="C6" s="4"/>
      <c r="D6" s="4" t="s">
        <v>195</v>
      </c>
      <c r="E6" s="9">
        <f>AVERAGE(Team_Season!N3,Team_Season!N7,Team_Season!N9,Team_Season!N11,Team_Season!N12)</f>
        <v>0.50214270008671158</v>
      </c>
      <c r="F6" s="4"/>
      <c r="G6" s="4"/>
      <c r="H6" s="4"/>
    </row>
    <row r="7" spans="1:8">
      <c r="A7" s="4" t="s">
        <v>196</v>
      </c>
      <c r="B7" s="10">
        <f>AVERAGE(Team_Season!O2,Team_Season!O4,Team_Season!O5,Team_Season!O6,Team_Season!O8,Team_Season!O10)</f>
        <v>7.1127777777777768</v>
      </c>
      <c r="C7" s="4"/>
      <c r="D7" s="4" t="s">
        <v>196</v>
      </c>
      <c r="E7" s="10">
        <f>AVERAGE(Team_Season!O3,Team_Season!O7,Team_Season!O9,Team_Season!O11,Team_Season!O12)</f>
        <v>7.673333333333332</v>
      </c>
      <c r="F7" s="4"/>
      <c r="G7" s="4"/>
      <c r="H7" s="4"/>
    </row>
    <row r="8" spans="1:8">
      <c r="A8" s="4" t="s">
        <v>197</v>
      </c>
      <c r="B8" s="9">
        <f>AVERAGE(Team_Season!Q2,Team_Season!Q4,Team_Season!Q5,Team_Season!Q6,Team_Season!Q8,Team_Season!Q10)</f>
        <v>0.80791181064520001</v>
      </c>
      <c r="C8" s="4"/>
      <c r="D8" s="4" t="s">
        <v>197</v>
      </c>
      <c r="E8" s="9">
        <f>AVERAGE(Team_Season!Q3,Team_Season!Q7,Team_Season!Q9,Team_Season!Q11,Team_Season!Q12)</f>
        <v>0.84724480578139105</v>
      </c>
      <c r="F8" s="4"/>
      <c r="G8" s="4"/>
      <c r="H8" s="4"/>
    </row>
    <row r="9" spans="1:8">
      <c r="A9" s="4" t="s">
        <v>198</v>
      </c>
      <c r="B9" s="10">
        <f>AVERAGE(Team_Season!R2,Team_Season!R4,Team_Season!R5,Team_Season!R6,Team_Season!R8,Team_Season!R10)</f>
        <v>6.1929666100542891</v>
      </c>
      <c r="C9" s="4"/>
      <c r="D9" s="4" t="s">
        <v>198</v>
      </c>
      <c r="E9" s="10">
        <f>AVERAGE(Team_Season!R3,Team_Season!R7,Team_Season!R9,Team_Season!R11,Team_Season!R12)</f>
        <v>4.9810754828431074</v>
      </c>
      <c r="F9" s="4"/>
      <c r="G9" s="4"/>
      <c r="H9" s="4"/>
    </row>
    <row r="10" spans="1:8">
      <c r="A10" s="4"/>
      <c r="B10" s="4"/>
      <c r="C10" s="4"/>
      <c r="D10" s="4"/>
      <c r="E10" s="4"/>
      <c r="F10" s="4"/>
      <c r="G10" s="4"/>
      <c r="H10" s="4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 ht="27.75">
      <c r="A12" s="13" t="s">
        <v>199</v>
      </c>
      <c r="B12" s="13" t="s">
        <v>2</v>
      </c>
      <c r="C12" s="13" t="s">
        <v>13</v>
      </c>
      <c r="D12" s="4"/>
      <c r="E12" s="13" t="s">
        <v>199</v>
      </c>
      <c r="F12" s="13" t="s">
        <v>2</v>
      </c>
      <c r="G12" s="13" t="s">
        <v>17</v>
      </c>
      <c r="H12" s="4"/>
    </row>
    <row r="13" spans="1:8" ht="27">
      <c r="A13" s="4" t="s">
        <v>200</v>
      </c>
      <c r="B13" s="4" t="s">
        <v>25</v>
      </c>
      <c r="C13" s="9">
        <f>Team_Season!N2</f>
        <v>0.59545454545454546</v>
      </c>
      <c r="D13" s="4"/>
      <c r="E13" s="4" t="s">
        <v>200</v>
      </c>
      <c r="F13" s="4" t="s">
        <v>25</v>
      </c>
      <c r="G13" s="10">
        <f>Team_Season!R2</f>
        <v>4.4654946708722454</v>
      </c>
      <c r="H13" s="4"/>
    </row>
    <row r="14" spans="1:8" ht="27">
      <c r="A14" s="4" t="s">
        <v>201</v>
      </c>
      <c r="B14" s="4" t="s">
        <v>34</v>
      </c>
      <c r="C14" s="9">
        <f>Team_Season!N3</f>
        <v>0.34354838709677421</v>
      </c>
      <c r="D14" s="4"/>
      <c r="E14" s="4" t="s">
        <v>201</v>
      </c>
      <c r="F14" s="4" t="s">
        <v>34</v>
      </c>
      <c r="G14" s="10">
        <f>Team_Season!R3</f>
        <v>3.9333598304186541</v>
      </c>
      <c r="H14" s="4"/>
    </row>
    <row r="15" spans="1:8" ht="27">
      <c r="A15" s="4" t="s">
        <v>202</v>
      </c>
      <c r="B15" s="4" t="s">
        <v>25</v>
      </c>
      <c r="C15" s="9">
        <f>Team_Season!N4</f>
        <v>0.487719298245614</v>
      </c>
      <c r="D15" s="4"/>
      <c r="E15" s="4" t="s">
        <v>202</v>
      </c>
      <c r="F15" s="4" t="s">
        <v>25</v>
      </c>
      <c r="G15" s="10">
        <f>Team_Season!R4</f>
        <v>4.4621654909142494</v>
      </c>
      <c r="H15" s="4"/>
    </row>
    <row r="16" spans="1:8" ht="27">
      <c r="A16" s="4" t="s">
        <v>203</v>
      </c>
      <c r="B16" s="4" t="s">
        <v>25</v>
      </c>
      <c r="C16" s="9">
        <f>Team_Season!N5</f>
        <v>0.5044776119402985</v>
      </c>
      <c r="D16" s="4"/>
      <c r="E16" s="4" t="s">
        <v>203</v>
      </c>
      <c r="F16" s="4" t="s">
        <v>25</v>
      </c>
      <c r="G16" s="10">
        <f>Team_Season!R5</f>
        <v>5.08373879779072</v>
      </c>
      <c r="H16" s="4"/>
    </row>
    <row r="17" spans="1:8" ht="27">
      <c r="A17" s="4" t="s">
        <v>204</v>
      </c>
      <c r="B17" s="4" t="s">
        <v>25</v>
      </c>
      <c r="C17" s="9">
        <f>Team_Season!N6</f>
        <v>0.4631578947368421</v>
      </c>
      <c r="D17" s="4"/>
      <c r="E17" s="4" t="s">
        <v>204</v>
      </c>
      <c r="F17" s="4" t="s">
        <v>25</v>
      </c>
      <c r="G17" s="10">
        <f>Team_Season!R6</f>
        <v>2.6839464882943145</v>
      </c>
      <c r="H17" s="4"/>
    </row>
    <row r="18" spans="1:8" ht="27">
      <c r="A18" s="4" t="s">
        <v>205</v>
      </c>
      <c r="B18" s="4" t="s">
        <v>34</v>
      </c>
      <c r="C18" s="9">
        <f>Team_Season!N7</f>
        <v>0.45172413793103455</v>
      </c>
      <c r="D18" s="4"/>
      <c r="E18" s="4" t="s">
        <v>205</v>
      </c>
      <c r="F18" s="4" t="s">
        <v>34</v>
      </c>
      <c r="G18" s="10">
        <f>Team_Season!R7</f>
        <v>5.6144230769230763</v>
      </c>
      <c r="H18" s="4"/>
    </row>
    <row r="19" spans="1:8" ht="27">
      <c r="A19" s="4" t="s">
        <v>206</v>
      </c>
      <c r="B19" s="4" t="s">
        <v>25</v>
      </c>
      <c r="C19" s="9">
        <f>Team_Season!N8</f>
        <v>0.39583333333333331</v>
      </c>
      <c r="D19" s="4"/>
      <c r="E19" s="4" t="s">
        <v>206</v>
      </c>
      <c r="F19" s="4" t="s">
        <v>25</v>
      </c>
      <c r="G19" s="10">
        <f>Team_Season!R8</f>
        <v>11.949761904761905</v>
      </c>
      <c r="H19" s="4"/>
    </row>
    <row r="20" spans="1:8" ht="27">
      <c r="A20" s="4" t="s">
        <v>207</v>
      </c>
      <c r="B20" s="4" t="s">
        <v>34</v>
      </c>
      <c r="C20" s="9">
        <f>Team_Season!N9</f>
        <v>0.52391304347826084</v>
      </c>
      <c r="D20" s="4"/>
      <c r="E20" s="4" t="s">
        <v>207</v>
      </c>
      <c r="F20" s="4" t="s">
        <v>34</v>
      </c>
      <c r="G20" s="10">
        <f>Team_Season!R9</f>
        <v>3.8078992530604907</v>
      </c>
      <c r="H20" s="4"/>
    </row>
    <row r="21" spans="1:8" ht="27">
      <c r="A21" s="4" t="s">
        <v>208</v>
      </c>
      <c r="B21" s="4" t="s">
        <v>25</v>
      </c>
      <c r="C21" s="9">
        <f>Team_Season!N10</f>
        <v>0.4363636363636364</v>
      </c>
      <c r="D21" s="4"/>
      <c r="E21" s="4" t="s">
        <v>208</v>
      </c>
      <c r="F21" s="4" t="s">
        <v>25</v>
      </c>
      <c r="G21" s="10">
        <f>Team_Season!R10</f>
        <v>8.5126923076923084</v>
      </c>
      <c r="H21" s="4"/>
    </row>
    <row r="22" spans="1:8" ht="27">
      <c r="A22" s="4" t="s">
        <v>209</v>
      </c>
      <c r="B22" s="4" t="s">
        <v>34</v>
      </c>
      <c r="C22" s="9">
        <f>Team_Season!N11</f>
        <v>0.42549019607843142</v>
      </c>
      <c r="D22" s="4"/>
      <c r="E22" s="4" t="s">
        <v>209</v>
      </c>
      <c r="F22" s="4" t="s">
        <v>34</v>
      </c>
      <c r="G22" s="10">
        <f>Team_Season!R11</f>
        <v>3.1259664847137048</v>
      </c>
      <c r="H22" s="4"/>
    </row>
    <row r="23" spans="1:8" ht="27">
      <c r="A23" s="4" t="s">
        <v>210</v>
      </c>
      <c r="B23" s="4" t="s">
        <v>34</v>
      </c>
      <c r="C23" s="9">
        <f>Team_Season!N12</f>
        <v>0.76603773584905654</v>
      </c>
      <c r="D23" s="4"/>
      <c r="E23" s="4" t="s">
        <v>210</v>
      </c>
      <c r="F23" s="4" t="s">
        <v>34</v>
      </c>
      <c r="G23" s="10">
        <f>Team_Season!R12</f>
        <v>8.423728769099613</v>
      </c>
      <c r="H23" s="4"/>
    </row>
    <row r="25" spans="1:8">
      <c r="A25" s="15" t="s">
        <v>211</v>
      </c>
      <c r="B25" s="15"/>
      <c r="C25" s="15"/>
      <c r="D25" s="15"/>
      <c r="E25" s="15"/>
      <c r="F25" s="15"/>
      <c r="G25" s="15"/>
    </row>
    <row r="26" spans="1:8">
      <c r="A26" s="15"/>
      <c r="B26" s="15"/>
      <c r="C26" s="15"/>
      <c r="D26" s="15"/>
      <c r="E26" s="15"/>
      <c r="F26" s="15"/>
      <c r="G26" s="15"/>
    </row>
    <row r="27" spans="1:8">
      <c r="A27" s="15"/>
      <c r="B27" s="15"/>
      <c r="C27" s="15"/>
      <c r="D27" s="15"/>
      <c r="E27" s="15"/>
      <c r="F27" s="15"/>
      <c r="G27" s="15"/>
    </row>
  </sheetData>
  <mergeCells count="2">
    <mergeCell ref="A1:H1"/>
    <mergeCell ref="A25:G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Team_Season</vt:lpstr>
      <vt:lpstr>Player_Core</vt:lpstr>
      <vt:lpstr>Methodology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siela brunello</dc:creator>
  <cp:lastModifiedBy>siela brunello</cp:lastModifiedBy>
  <dcterms:created xsi:type="dcterms:W3CDTF">2026-09-28T19:34:08Z</dcterms:created>
  <dcterms:modified xsi:type="dcterms:W3CDTF">2026-09-28T19:34:44Z</dcterms:modified>
</cp:coreProperties>
</file>